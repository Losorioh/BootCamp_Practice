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ctura" sheetId="1" r:id="rId4"/>
    <sheet state="visible" name="INFO_MUN" sheetId="2" r:id="rId5"/>
    <sheet state="visible" name="Valor_normalizado" sheetId="3" r:id="rId6"/>
    <sheet state="visible" name="Valor_original (winzo-imp)" sheetId="4" r:id="rId7"/>
    <sheet state="visible" name="Valor_ranking" sheetId="5" r:id="rId8"/>
    <sheet state="visible" name="Pivot Table 1" sheetId="6" r:id="rId9"/>
    <sheet state="visible" name="RESULTADOS INN" sheetId="7" r:id="rId10"/>
    <sheet state="visible" name="RESULTADOS TIC" sheetId="8" r:id="rId11"/>
    <sheet state="hidden" name="Gráficos" sheetId="9" r:id="rId12"/>
  </sheets>
  <externalReferences>
    <externalReference r:id="rId13"/>
  </externalReferences>
  <definedNames>
    <definedName name="lista_mun">OFFSET(INDIRECT(#REF!),,,#REF!)</definedName>
    <definedName name="resultados_2019">'[1]5'!$B$1:$G$60</definedName>
    <definedName name="resultados_2020">'[1]6'!$B$1:$G$60</definedName>
    <definedName name="resultados_2021">'[1]7'!$B$1:$G$60</definedName>
    <definedName name="niveles">#REF!</definedName>
    <definedName name="codmun">#REF!</definedName>
    <definedName hidden="1" localSheetId="0" name="_xlnm._FilterDatabase">Estructura!$A$1:$J$140</definedName>
    <definedName hidden="1" localSheetId="2" name="_xlnm._FilterDatabase">Valor_normalizado!$A$1:$Y$193</definedName>
    <definedName hidden="1" localSheetId="4" name="_xlnm._FilterDatabase">Valor_ranking!$A$1:$Y$193</definedName>
    <definedName hidden="1" localSheetId="6" name="_xlnm._FilterDatabase">'RESULTADOS INN'!$A$1:$H$33</definedName>
    <definedName hidden="1" localSheetId="7" name="_xlnm._FilterDatabase">'RESULTADOS TIC'!$B$1:$F$33</definedName>
  </definedNames>
  <calcPr/>
  <pivotCaches>
    <pivotCache cacheId="0" r:id="rId14"/>
    <pivotCache cacheId="1" r:id="rId15"/>
  </pivotCaches>
  <extLst>
    <ext uri="GoogleSheetsCustomDataVersion2">
      <go:sheetsCustomData xmlns:go="http://customooxmlschemas.google.com/" r:id="rId16" roundtripDataChecksum="ZTGf+NamoNnMJZ4g5qyAWNXzyqBYrBmoPAL1dLYD/Jc="/>
    </ext>
  </extLst>
</workbook>
</file>

<file path=xl/sharedStrings.xml><?xml version="1.0" encoding="utf-8"?>
<sst xmlns="http://schemas.openxmlformats.org/spreadsheetml/2006/main" count="1308" uniqueCount="364">
  <si>
    <t>FACTOR 1</t>
  </si>
  <si>
    <t>CONDICIONES HABILITANTES</t>
  </si>
  <si>
    <t>Periodo</t>
  </si>
  <si>
    <t>Último</t>
  </si>
  <si>
    <t>Pilar</t>
  </si>
  <si>
    <t>Subpilar</t>
  </si>
  <si>
    <t>Subpilar en el pilar</t>
  </si>
  <si>
    <t>Variable en el subpilar</t>
  </si>
  <si>
    <t>Variable en el pilar</t>
  </si>
  <si>
    <t>PILAR 1: INSTITUCIONES</t>
  </si>
  <si>
    <t>INVERSA</t>
  </si>
  <si>
    <t>Corte</t>
  </si>
  <si>
    <t>Año</t>
  </si>
  <si>
    <t>INS-1</t>
  </si>
  <si>
    <t>Desempeño administrativo</t>
  </si>
  <si>
    <t>2019</t>
  </si>
  <si>
    <t>INS-1-1</t>
  </si>
  <si>
    <t>Gestión de recursos</t>
  </si>
  <si>
    <t>No</t>
  </si>
  <si>
    <t>2019-2022</t>
  </si>
  <si>
    <t>2020</t>
  </si>
  <si>
    <t>INS-1-2</t>
  </si>
  <si>
    <t>Actualización catastral</t>
  </si>
  <si>
    <t>Sí</t>
  </si>
  <si>
    <t>2018-2022</t>
  </si>
  <si>
    <t>2021</t>
  </si>
  <si>
    <t>INS-1-3</t>
  </si>
  <si>
    <t>Índice de Gobierno Digital para el Estado</t>
  </si>
  <si>
    <t>2022-2023</t>
  </si>
  <si>
    <t>2022</t>
  </si>
  <si>
    <t>INS-2</t>
  </si>
  <si>
    <t>Gestión fiscal</t>
  </si>
  <si>
    <t>2023</t>
  </si>
  <si>
    <t>INS-2-1</t>
  </si>
  <si>
    <t>Autonomía fiscal</t>
  </si>
  <si>
    <t>2017-2022</t>
  </si>
  <si>
    <t>2024</t>
  </si>
  <si>
    <t>INS-2-2</t>
  </si>
  <si>
    <t>Capacidad local de recaudo</t>
  </si>
  <si>
    <t>INS-2-3</t>
  </si>
  <si>
    <t>Capacidad de ahorro</t>
  </si>
  <si>
    <t>INS-3</t>
  </si>
  <si>
    <t>Transparencia y contratación pública</t>
  </si>
  <si>
    <t>INS-3-1</t>
  </si>
  <si>
    <t>Índice de Gobierno Digital para la Sociedad</t>
  </si>
  <si>
    <t>INS-3-2</t>
  </si>
  <si>
    <t>Procesos de contratación en SECOP II</t>
  </si>
  <si>
    <t>2020-2022</t>
  </si>
  <si>
    <t>INS-4</t>
  </si>
  <si>
    <t>Seguridad y justicia</t>
  </si>
  <si>
    <t>INS-4-1</t>
  </si>
  <si>
    <t>Tasa de homicidios</t>
  </si>
  <si>
    <t>2018-2023</t>
  </si>
  <si>
    <t>INS-4-2</t>
  </si>
  <si>
    <t>Tasa de hurtos</t>
  </si>
  <si>
    <t>INS-4-3</t>
  </si>
  <si>
    <t>Tasa de extorsión</t>
  </si>
  <si>
    <t>INS-4-4</t>
  </si>
  <si>
    <t>Eficiencia de la justicia</t>
  </si>
  <si>
    <t>INS-4-5</t>
  </si>
  <si>
    <t>Productividad de jueces</t>
  </si>
  <si>
    <t>INS-4-6</t>
  </si>
  <si>
    <t>Eficiencia de los métodos de resolución de conflictos</t>
  </si>
  <si>
    <t>PILAR 2: INFRAESTRUCTURA Y EQUIPAMIENTO</t>
  </si>
  <si>
    <t>INF-1</t>
  </si>
  <si>
    <t>Infraestructura de servicios</t>
  </si>
  <si>
    <t>INF-1-1</t>
  </si>
  <si>
    <t>Cobertura de acueducto</t>
  </si>
  <si>
    <t>INF-1-2</t>
  </si>
  <si>
    <t>Cobertura efectiva de gas natural</t>
  </si>
  <si>
    <t>INF-1-3</t>
  </si>
  <si>
    <t>Cobertura de la energía eléctrica</t>
  </si>
  <si>
    <t>INF-1-4</t>
  </si>
  <si>
    <t>Costo de la energía eléctrica</t>
  </si>
  <si>
    <t>INF-1-5</t>
  </si>
  <si>
    <t>Cobertura de alcantarillado</t>
  </si>
  <si>
    <t>INF-2</t>
  </si>
  <si>
    <t>Conectividad</t>
  </si>
  <si>
    <t>INF-2-1</t>
  </si>
  <si>
    <t>Costo de transporte terrestre a mercado interno</t>
  </si>
  <si>
    <t>INF-2-2</t>
  </si>
  <si>
    <t>Costo de transporte terrestre a aduanas</t>
  </si>
  <si>
    <t>INF-2-3</t>
  </si>
  <si>
    <t>Pasajeros movilizados vía aérea</t>
  </si>
  <si>
    <t>INF-2-4</t>
  </si>
  <si>
    <t>Índice de conectividad aérea</t>
  </si>
  <si>
    <t>INF-2-5</t>
  </si>
  <si>
    <t>Pasajeros movilizados por transporte público</t>
  </si>
  <si>
    <t>2019-2024</t>
  </si>
  <si>
    <t>INF-3</t>
  </si>
  <si>
    <t>Oferta Cultural</t>
  </si>
  <si>
    <t>INF-3-1</t>
  </si>
  <si>
    <t>Ejemplares de biblioteca</t>
  </si>
  <si>
    <t>INF-3-2</t>
  </si>
  <si>
    <t>Museos</t>
  </si>
  <si>
    <t>INF-3-3</t>
  </si>
  <si>
    <t>Sillas de sala de cine</t>
  </si>
  <si>
    <t>INF-3-4</t>
  </si>
  <si>
    <t>Escenarios culturales</t>
  </si>
  <si>
    <t>INF-3-5</t>
  </si>
  <si>
    <t>Bienes de interés cultural</t>
  </si>
  <si>
    <t>PILAR 3: Adopción TIC</t>
  </si>
  <si>
    <t>TIC-1</t>
  </si>
  <si>
    <t>Infraestructura TIC</t>
  </si>
  <si>
    <t>TIC-1-1</t>
  </si>
  <si>
    <t>Penetración de internet banda ancha fijo</t>
  </si>
  <si>
    <t>TIC-1-2</t>
  </si>
  <si>
    <t>Ancho de banda de internet</t>
  </si>
  <si>
    <t>TIC-1-3</t>
  </si>
  <si>
    <t>Hogares con computador, portátil o tablet</t>
  </si>
  <si>
    <t>2020-2023</t>
  </si>
  <si>
    <t>TIC-1-4</t>
  </si>
  <si>
    <t>Uso de Internet</t>
  </si>
  <si>
    <t>TIC-2</t>
  </si>
  <si>
    <t>Capacidades TIC</t>
  </si>
  <si>
    <t>TIC-2-1</t>
  </si>
  <si>
    <t>Matriculados en programas TIC</t>
  </si>
  <si>
    <t>TIC-2-2</t>
  </si>
  <si>
    <t>Graduados en programas TIC</t>
  </si>
  <si>
    <t>TIC-2-3</t>
  </si>
  <si>
    <t>Programas TIC</t>
  </si>
  <si>
    <t>PILAR 4: SOSTENIBILIDAD AMBIENTAL</t>
  </si>
  <si>
    <t>AMB-1</t>
  </si>
  <si>
    <t>Activos naturales</t>
  </si>
  <si>
    <t>AMB-1-1</t>
  </si>
  <si>
    <t>Áreas protegidas</t>
  </si>
  <si>
    <t>AMB-1-2</t>
  </si>
  <si>
    <t>Emisiones de CO2 de fuentes fijas</t>
  </si>
  <si>
    <t>AMB-1-3</t>
  </si>
  <si>
    <t>Emisiones de CO2 de fuentes móviles</t>
  </si>
  <si>
    <t>AMB-1-4</t>
  </si>
  <si>
    <t>Hectáreas de bosque deforestadas</t>
  </si>
  <si>
    <t>AMB-2</t>
  </si>
  <si>
    <t>Gestión ambiental y del riesgo</t>
  </si>
  <si>
    <t>AMB-2-1</t>
  </si>
  <si>
    <t>Negocios verdes</t>
  </si>
  <si>
    <t>AMB-2-2</t>
  </si>
  <si>
    <t>Vida útil del sitio de disposición final de residuos</t>
  </si>
  <si>
    <t>FACTOR 2</t>
  </si>
  <si>
    <t>CAPITAL HUMANO</t>
  </si>
  <si>
    <t>PILAR 5: SALUD</t>
  </si>
  <si>
    <t>SAL-1</t>
  </si>
  <si>
    <t>Acceso a salud</t>
  </si>
  <si>
    <t>SAL-1-1</t>
  </si>
  <si>
    <t>Cobertura de vacunación triple viral</t>
  </si>
  <si>
    <t>SAL-1-2</t>
  </si>
  <si>
    <t>Cobertura de vacunación pentavalente (DTP)</t>
  </si>
  <si>
    <t>SAL-1-3</t>
  </si>
  <si>
    <t>Controles prenatales</t>
  </si>
  <si>
    <t>SAL-2</t>
  </si>
  <si>
    <t>Resultados en salud</t>
  </si>
  <si>
    <t>SAL-2-1</t>
  </si>
  <si>
    <t>Mortalidad infantil</t>
  </si>
  <si>
    <t>SAL-2-2</t>
  </si>
  <si>
    <t>Mortalidad materna</t>
  </si>
  <si>
    <t>SAL-3</t>
  </si>
  <si>
    <t>Capacidades en salud</t>
  </si>
  <si>
    <t>SAL-3-1</t>
  </si>
  <si>
    <t>Comunidad de la salud</t>
  </si>
  <si>
    <t>2018-2021</t>
  </si>
  <si>
    <t>SAL-3-2</t>
  </si>
  <si>
    <t>Médicos generales</t>
  </si>
  <si>
    <t>SAL-3-3</t>
  </si>
  <si>
    <t>Médicos especialistas</t>
  </si>
  <si>
    <t>SAL-3-4</t>
  </si>
  <si>
    <t>Camas generales y especializadas</t>
  </si>
  <si>
    <t>PILAR 6: EDUCACIÓN BÁSICA Y MEDIA</t>
  </si>
  <si>
    <t>EDU-1</t>
  </si>
  <si>
    <t>Cobertura en educación</t>
  </si>
  <si>
    <t>EDU-1-1</t>
  </si>
  <si>
    <t>Cobertura neta en preescolar</t>
  </si>
  <si>
    <t>EDU-1-2</t>
  </si>
  <si>
    <t>Cobertura neta en educación primaria</t>
  </si>
  <si>
    <t>EDU-1-3</t>
  </si>
  <si>
    <t>Cobertura neta en educación secundaria</t>
  </si>
  <si>
    <t>EDU-1-4</t>
  </si>
  <si>
    <t>Cobertura neta en educación media</t>
  </si>
  <si>
    <t>EDU-1-5</t>
  </si>
  <si>
    <t>Deserción escolar en educación básica y media</t>
  </si>
  <si>
    <t>EDU-2</t>
  </si>
  <si>
    <t>Calidad en educación</t>
  </si>
  <si>
    <t>EDU-2-1</t>
  </si>
  <si>
    <t>Puntaje pruebas Saber 11</t>
  </si>
  <si>
    <t>2019-2023</t>
  </si>
  <si>
    <t>EDU-2-2</t>
  </si>
  <si>
    <t>Puntaje pruebas Saber 11 en colegios oficiales</t>
  </si>
  <si>
    <t>EDU-2-3</t>
  </si>
  <si>
    <t>Docentes de colegios oficiales con posgrado</t>
  </si>
  <si>
    <t>EDU-2-4</t>
  </si>
  <si>
    <t>Relación estudiantes-docentes</t>
  </si>
  <si>
    <t>PILAR 7: EDUCACIÓN SUPERIOR Y FORMACIÓN PARA EL TRABAJO</t>
  </si>
  <si>
    <t>EDS-1</t>
  </si>
  <si>
    <t>Cobertura en educación superior</t>
  </si>
  <si>
    <t>EDS-1-1</t>
  </si>
  <si>
    <t>Cobertura bruta en formación universitaria</t>
  </si>
  <si>
    <t>EDS-1-2</t>
  </si>
  <si>
    <t>Graduados en posgrado</t>
  </si>
  <si>
    <t>EDS-1-3</t>
  </si>
  <si>
    <t>Cobertura bruta en formación técnica y tecnológica</t>
  </si>
  <si>
    <t>EDS-2</t>
  </si>
  <si>
    <t>Calidad en educación superior</t>
  </si>
  <si>
    <t>EDS-2-1</t>
  </si>
  <si>
    <t>Puntaje pruebas Saber Pro</t>
  </si>
  <si>
    <t>EDS-2-2</t>
  </si>
  <si>
    <t>Calidad de docentes de educación superior</t>
  </si>
  <si>
    <t>EDS-2-3</t>
  </si>
  <si>
    <t>Cobertura instituciones de educación superior con acreditación de alta calidad</t>
  </si>
  <si>
    <t>EDS-2-4</t>
  </si>
  <si>
    <t>Dominio de inglés</t>
  </si>
  <si>
    <t>EDS-3</t>
  </si>
  <si>
    <t>Educación para el trabajo y el desarrollo humano</t>
  </si>
  <si>
    <t>EDS-3-1</t>
  </si>
  <si>
    <t>Proporción de estudiantes en IETDH matriculados en instituciones certificadas</t>
  </si>
  <si>
    <t>EDS-3-2</t>
  </si>
  <si>
    <t xml:space="preserve">Egresados del SENA vinculados al mercado laboral </t>
  </si>
  <si>
    <t>FACTOR 3</t>
  </si>
  <si>
    <t>EFICIENCIA DE LOS MERCADOS</t>
  </si>
  <si>
    <t>PILAR 8: ENTORNO PARA LOS NEGOCIOS</t>
  </si>
  <si>
    <t>NEG-1</t>
  </si>
  <si>
    <t>Trámites y competencia</t>
  </si>
  <si>
    <t>NEG-1-1</t>
  </si>
  <si>
    <t>Facilitación de trámites</t>
  </si>
  <si>
    <t>NEG-1-2</t>
  </si>
  <si>
    <t>Concentración en el sector secundario</t>
  </si>
  <si>
    <t>NEG-1-3</t>
  </si>
  <si>
    <t>Concentración en el sector terciario</t>
  </si>
  <si>
    <t>NEG-2</t>
  </si>
  <si>
    <t>Dinámica empresarial</t>
  </si>
  <si>
    <t>NEG-2-1</t>
  </si>
  <si>
    <t>Tasa de registro empresarial</t>
  </si>
  <si>
    <t>NEG-2-2</t>
  </si>
  <si>
    <t>Densidad empresarial</t>
  </si>
  <si>
    <t>NEG-2-3</t>
  </si>
  <si>
    <t>Participación de medianas y grandes empresas</t>
  </si>
  <si>
    <t>PILAR 9: MERCADO LABORAL</t>
  </si>
  <si>
    <t>LAB-1-1</t>
  </si>
  <si>
    <t>Tasa global de participación</t>
  </si>
  <si>
    <t>LAB-1-2</t>
  </si>
  <si>
    <t>Tasa de desempleo</t>
  </si>
  <si>
    <t>LAB-1-3</t>
  </si>
  <si>
    <t>Formalidad laboral</t>
  </si>
  <si>
    <t>LAB-1-4</t>
  </si>
  <si>
    <t>Subocupación</t>
  </si>
  <si>
    <t>LAB-1-5</t>
  </si>
  <si>
    <t>Empleo vulnerable</t>
  </si>
  <si>
    <t>PILAR 10: SISTEMA FINANCIERO</t>
  </si>
  <si>
    <t>FIN-1-1</t>
  </si>
  <si>
    <t>Cobertura establecimientos financieros</t>
  </si>
  <si>
    <t>FIN-1-2</t>
  </si>
  <si>
    <t>Inclusión financiera</t>
  </si>
  <si>
    <t>FIN-1-3</t>
  </si>
  <si>
    <t>Cobertura de seguros</t>
  </si>
  <si>
    <t>FIN-1-4</t>
  </si>
  <si>
    <t>Índice de profundización financiera de la cartera comercial</t>
  </si>
  <si>
    <t>PILAR 11: TAMAÑO DEL MERCADO</t>
  </si>
  <si>
    <t>TAM-1</t>
  </si>
  <si>
    <t>Mercado Interno</t>
  </si>
  <si>
    <t>TAM-1-1</t>
  </si>
  <si>
    <t>Tamaño del mercado interno</t>
  </si>
  <si>
    <t>TAM-2</t>
  </si>
  <si>
    <t>Mercado externo</t>
  </si>
  <si>
    <t>TAM-2-1</t>
  </si>
  <si>
    <t>Tamaño del mercado externo</t>
  </si>
  <si>
    <t>TAM-2-2</t>
  </si>
  <si>
    <t>Grado de apertura comercial</t>
  </si>
  <si>
    <t>FACTOR 4</t>
  </si>
  <si>
    <t>ECOSISTEMA INNOVADOR</t>
  </si>
  <si>
    <t>PILAR 12: SOFISTICACIÓN Y DIVERSIFICACIÓN</t>
  </si>
  <si>
    <t>SOF-1-1</t>
  </si>
  <si>
    <t>Diversificación de mercados de destino de exportaciones</t>
  </si>
  <si>
    <t>SOF-1-2</t>
  </si>
  <si>
    <t>Diversificación de la canasta exportadora</t>
  </si>
  <si>
    <t>PILAR 13: INNOVACIÓN</t>
  </si>
  <si>
    <t>INN-1</t>
  </si>
  <si>
    <t>Investigación</t>
  </si>
  <si>
    <t>INN-1-1</t>
  </si>
  <si>
    <t>Investigación de alta calidad</t>
  </si>
  <si>
    <t>INN-1-2</t>
  </si>
  <si>
    <t>Revistas indexadas en publindex</t>
  </si>
  <si>
    <t>INN-1-3</t>
  </si>
  <si>
    <t xml:space="preserve">Investigadores per cápita </t>
  </si>
  <si>
    <t>INN-1-4</t>
  </si>
  <si>
    <t>Productividad de la investigación científica</t>
  </si>
  <si>
    <t>INN-1-5</t>
  </si>
  <si>
    <t>Sinergía de la investigación</t>
  </si>
  <si>
    <t>INN-2</t>
  </si>
  <si>
    <t>Registros de propiedad industrial</t>
  </si>
  <si>
    <t>INN-2-1</t>
  </si>
  <si>
    <t>Patentes</t>
  </si>
  <si>
    <t>INN-2-2</t>
  </si>
  <si>
    <t>Modelos de utilidad</t>
  </si>
  <si>
    <t>INN-2-3</t>
  </si>
  <si>
    <t>Diseños industriales</t>
  </si>
  <si>
    <t>INN-2-4</t>
  </si>
  <si>
    <t>Registro de marcas</t>
  </si>
  <si>
    <t>COD_MUN</t>
  </si>
  <si>
    <t>CATEGORIA_NUMB</t>
  </si>
  <si>
    <t>CATEGORIA</t>
  </si>
  <si>
    <t>POBLACION</t>
  </si>
  <si>
    <t>ACTIVIDAD_ECONOMICA_PRINCIPAL</t>
  </si>
  <si>
    <t>PARTICIPACION EN EL PIB</t>
  </si>
  <si>
    <t>Ciudad o AM</t>
  </si>
  <si>
    <t>TIC</t>
  </si>
  <si>
    <t>INN</t>
  </si>
  <si>
    <t>Puntaje general</t>
  </si>
  <si>
    <t>Bogotá D.C.</t>
  </si>
  <si>
    <t>Armenia</t>
  </si>
  <si>
    <t>Medellín AM</t>
  </si>
  <si>
    <t>Tunja</t>
  </si>
  <si>
    <t>Pereira AM</t>
  </si>
  <si>
    <t>Bucaramanga AM</t>
  </si>
  <si>
    <t>Cali AM</t>
  </si>
  <si>
    <t>Neiva</t>
  </si>
  <si>
    <t>Ibagué</t>
  </si>
  <si>
    <t>Pasto</t>
  </si>
  <si>
    <t>Manizales AM</t>
  </si>
  <si>
    <t>Popayán</t>
  </si>
  <si>
    <t>Villavicencio</t>
  </si>
  <si>
    <t>Cartagena</t>
  </si>
  <si>
    <t>Santa Marta</t>
  </si>
  <si>
    <t>Barranquilla AM</t>
  </si>
  <si>
    <t>Valledupar</t>
  </si>
  <si>
    <t>Yopal</t>
  </si>
  <si>
    <t>Sincelejo</t>
  </si>
  <si>
    <t>Cúcuta AM</t>
  </si>
  <si>
    <t>Quibdó</t>
  </si>
  <si>
    <t>Riohacha</t>
  </si>
  <si>
    <t>Florencia</t>
  </si>
  <si>
    <t>Montería</t>
  </si>
  <si>
    <t>Arauca</t>
  </si>
  <si>
    <t>San Andrés</t>
  </si>
  <si>
    <t>Mocoa</t>
  </si>
  <si>
    <t>San José del Guaviare</t>
  </si>
  <si>
    <t>Puerto Carreño</t>
  </si>
  <si>
    <t>Inírida</t>
  </si>
  <si>
    <t>Leticia</t>
  </si>
  <si>
    <t>Mitú</t>
  </si>
  <si>
    <t>Máx. de INN</t>
  </si>
  <si>
    <t>Grand Total</t>
  </si>
  <si>
    <t>CODIGO_MUN</t>
  </si>
  <si>
    <t xml:space="preserve">CATEGORIA_NUM  </t>
  </si>
  <si>
    <t>CATEGORIA_POBLACION</t>
  </si>
  <si>
    <t>Superior o igual a 500,001</t>
  </si>
  <si>
    <t xml:space="preserve">Metodología: Muestra aleatoria simple </t>
  </si>
  <si>
    <t xml:space="preserve">Alcance: acciones específicas que definen su resultado </t>
  </si>
  <si>
    <t xml:space="preserve">acciones puntuales: </t>
  </si>
  <si>
    <t xml:space="preserve">1. Construcción de base de datos de sub-pilares </t>
  </si>
  <si>
    <t>Entre 100,001 y 500,000</t>
  </si>
  <si>
    <t>2. Investigación literaria de acciones</t>
  </si>
  <si>
    <t>OPCION 1:MUESTRA ALEATOROA</t>
  </si>
  <si>
    <t xml:space="preserve">OPCION 2: POR CATEGORIA </t>
  </si>
  <si>
    <t>Entre 50,0001 y 100,000</t>
  </si>
  <si>
    <t>RIOHACHA</t>
  </si>
  <si>
    <t>Entre 30,001 y 50,000</t>
  </si>
  <si>
    <t>Entre 20,001 y 30,000</t>
  </si>
  <si>
    <t xml:space="preserve">MITU </t>
  </si>
  <si>
    <t>Entre 10,001 y 20,000</t>
  </si>
  <si>
    <t>Igual o inferior a 10,000</t>
  </si>
  <si>
    <t>MUNICIPIO</t>
  </si>
  <si>
    <t>Ciudad</t>
  </si>
  <si>
    <t>Máximo</t>
  </si>
  <si>
    <t>Mínimo</t>
  </si>
  <si>
    <t>Promedio</t>
  </si>
  <si>
    <t>Desviación estándar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</si>
</sst>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_-* #,##0.0_-;\-* #,##0.0_-;_-* &quot;-&quot;_-;_-@"/>
  </numFmts>
  <fonts count="8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  <font/>
  </fonts>
  <fills count="1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F7C5A3"/>
        <bgColor rgb="FFF7C5A3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</fills>
  <borders count="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top/>
      <bottom/>
    </border>
    <border>
      <right/>
      <top/>
      <bottom/>
    </border>
    <border>
      <top/>
      <bottom/>
    </border>
    <border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FFFFFF"/>
      </left>
      <right style="thin">
        <color rgb="FF999999"/>
      </right>
      <top style="thin">
        <color rgb="FFFFFFFF"/>
      </top>
    </border>
    <border>
      <left style="thin">
        <color rgb="FF999999"/>
      </left>
      <bottom style="thin">
        <color rgb="FF999999"/>
      </bottom>
    </border>
    <border>
      <left style="thin">
        <color rgb="FF999999"/>
      </left>
      <top style="thin">
        <color rgb="FFFFFFFF"/>
      </top>
      <bottom style="thin">
        <color rgb="FF999999"/>
      </bottom>
    </border>
    <border>
      <left style="thin">
        <color rgb="FFFFFFFF"/>
      </left>
      <top style="thin">
        <color rgb="FFFFFFFF"/>
      </top>
      <bottom style="thin">
        <color rgb="FF999999"/>
      </bottom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left" vertical="center"/>
    </xf>
    <xf borderId="3" fillId="3" fontId="2" numFmtId="0" xfId="0" applyAlignment="1" applyBorder="1" applyFont="1">
      <alignment vertical="center"/>
    </xf>
    <xf borderId="3" fillId="4" fontId="3" numFmtId="0" xfId="0" applyAlignment="1" applyBorder="1" applyFill="1" applyFont="1">
      <alignment horizontal="center" vertical="center"/>
    </xf>
    <xf borderId="4" fillId="0" fontId="4" numFmtId="10" xfId="0" applyAlignment="1" applyBorder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0" fontId="4" numFmtId="10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quotePrefix="1" borderId="0" fillId="0" fontId="4" numFmtId="0" xfId="0" applyFont="1"/>
    <xf borderId="0" fillId="0" fontId="4" numFmtId="0" xfId="0" applyFont="1"/>
    <xf borderId="0" fillId="0" fontId="4" numFmtId="9" xfId="0" applyFont="1" applyNumberForma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0" fillId="0" fontId="4" numFmtId="2" xfId="0" applyFont="1" applyNumberFormat="1"/>
    <xf borderId="0" fillId="0" fontId="4" numFmtId="10" xfId="0" applyAlignment="1" applyFont="1" applyNumberFormat="1">
      <alignment horizontal="center" vertical="center"/>
    </xf>
    <xf borderId="1" fillId="0" fontId="4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4" fillId="0" fontId="4" numFmtId="16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left" vertical="center"/>
    </xf>
    <xf borderId="0" fillId="0" fontId="2" numFmtId="0" xfId="0" applyFont="1"/>
    <xf borderId="5" fillId="0" fontId="2" numFmtId="0" xfId="0" applyAlignment="1" applyBorder="1" applyFont="1">
      <alignment horizontal="left"/>
    </xf>
    <xf borderId="5" fillId="0" fontId="4" numFmtId="0" xfId="0" applyAlignment="1" applyBorder="1" applyFont="1">
      <alignment horizontal="left" vertical="center"/>
    </xf>
    <xf borderId="5" fillId="0" fontId="2" numFmtId="0" xfId="0" applyBorder="1" applyFont="1"/>
    <xf borderId="5" fillId="0" fontId="4" numFmtId="0" xfId="0" applyAlignment="1" applyBorder="1" applyFont="1">
      <alignment horizontal="left"/>
    </xf>
    <xf borderId="1" fillId="0" fontId="2" numFmtId="0" xfId="0" applyBorder="1" applyFont="1"/>
    <xf borderId="1" fillId="0" fontId="4" numFmtId="0" xfId="0" applyAlignment="1" applyBorder="1" applyFont="1">
      <alignment horizontal="left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1" fillId="5" fontId="2" numFmtId="0" xfId="0" applyBorder="1" applyFill="1" applyFont="1"/>
    <xf borderId="1" fillId="5" fontId="2" numFmtId="0" xfId="0" applyAlignment="1" applyBorder="1" applyFont="1">
      <alignment horizontal="center"/>
    </xf>
    <xf borderId="8" fillId="6" fontId="2" numFmtId="0" xfId="0" applyAlignment="1" applyBorder="1" applyFill="1" applyFont="1">
      <alignment horizontal="center" vertical="center"/>
    </xf>
    <xf borderId="8" fillId="7" fontId="2" numFmtId="0" xfId="0" applyAlignment="1" applyBorder="1" applyFill="1" applyFont="1">
      <alignment horizontal="center" vertical="center"/>
    </xf>
    <xf borderId="8" fillId="8" fontId="2" numFmtId="0" xfId="0" applyAlignment="1" applyBorder="1" applyFill="1" applyFont="1">
      <alignment horizontal="center" vertical="center"/>
    </xf>
    <xf borderId="8" fillId="9" fontId="2" numFmtId="0" xfId="0" applyAlignment="1" applyBorder="1" applyFill="1" applyFont="1">
      <alignment vertical="center"/>
    </xf>
    <xf borderId="1" fillId="10" fontId="2" numFmtId="0" xfId="0" applyBorder="1" applyFill="1" applyFont="1"/>
    <xf borderId="1" fillId="0" fontId="4" numFmtId="2" xfId="0" applyAlignment="1" applyBorder="1" applyFont="1" applyNumberFormat="1">
      <alignment horizontal="center" vertical="center"/>
    </xf>
    <xf borderId="1" fillId="11" fontId="2" numFmtId="0" xfId="0" applyBorder="1" applyFill="1" applyFont="1"/>
    <xf borderId="1" fillId="12" fontId="2" numFmtId="0" xfId="0" applyAlignment="1" applyBorder="1" applyFill="1" applyFont="1">
      <alignment horizontal="center"/>
    </xf>
    <xf borderId="1" fillId="0" fontId="6" numFmtId="2" xfId="0" applyAlignment="1" applyBorder="1" applyFont="1" applyNumberFormat="1">
      <alignment horizontal="center" vertical="center"/>
    </xf>
    <xf borderId="1" fillId="7" fontId="4" numFmtId="2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vertical="center"/>
    </xf>
    <xf borderId="1" fillId="5" fontId="2" numFmtId="0" xfId="0" applyAlignment="1" applyBorder="1" applyFont="1">
      <alignment horizontal="center" vertical="center"/>
    </xf>
    <xf borderId="8" fillId="9" fontId="2" numFmtId="0" xfId="0" applyAlignment="1" applyBorder="1" applyFont="1">
      <alignment horizontal="center" vertical="center"/>
    </xf>
    <xf borderId="8" fillId="13" fontId="2" numFmtId="0" xfId="0" applyAlignment="1" applyBorder="1" applyFill="1" applyFont="1">
      <alignment horizontal="center" vertical="center"/>
    </xf>
    <xf borderId="1" fillId="11" fontId="4" numFmtId="0" xfId="0" applyAlignment="1" applyBorder="1" applyFont="1">
      <alignment vertical="center"/>
    </xf>
    <xf borderId="8" fillId="0" fontId="4" numFmtId="2" xfId="0" applyAlignment="1" applyBorder="1" applyFont="1" applyNumberFormat="1">
      <alignment horizontal="center" vertical="center"/>
    </xf>
    <xf borderId="1" fillId="10" fontId="4" numFmtId="0" xfId="0" applyAlignment="1" applyBorder="1" applyFont="1">
      <alignment vertical="center"/>
    </xf>
    <xf borderId="9" fillId="0" fontId="4" numFmtId="2" xfId="0" applyAlignment="1" applyBorder="1" applyFont="1" applyNumberFormat="1">
      <alignment horizontal="center" vertical="center"/>
    </xf>
    <xf borderId="1" fillId="14" fontId="4" numFmtId="0" xfId="0" applyAlignment="1" applyBorder="1" applyFill="1" applyFont="1">
      <alignment vertical="center"/>
    </xf>
    <xf borderId="1" fillId="14" fontId="4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left"/>
    </xf>
    <xf borderId="1" fillId="0" fontId="4" numFmtId="1" xfId="0" applyAlignment="1" applyBorder="1" applyFont="1" applyNumberForma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0" fillId="0" fontId="4" numFmtId="2" xfId="0" applyBorder="1" applyFont="1" applyNumberFormat="1"/>
    <xf borderId="13" fillId="0" fontId="4" numFmtId="2" xfId="0" applyBorder="1" applyFont="1" applyNumberFormat="1"/>
    <xf borderId="14" fillId="0" fontId="4" numFmtId="2" xfId="0" applyBorder="1" applyFont="1" applyNumberFormat="1"/>
    <xf borderId="15" fillId="0" fontId="4" numFmtId="0" xfId="0" applyBorder="1" applyFont="1"/>
    <xf borderId="15" fillId="0" fontId="4" numFmtId="2" xfId="0" applyBorder="1" applyFont="1" applyNumberFormat="1"/>
    <xf borderId="16" fillId="0" fontId="4" numFmtId="2" xfId="0" applyBorder="1" applyFont="1" applyNumberFormat="1"/>
    <xf borderId="17" fillId="0" fontId="4" numFmtId="0" xfId="0" applyBorder="1" applyFont="1"/>
    <xf borderId="17" fillId="0" fontId="4" numFmtId="2" xfId="0" applyBorder="1" applyFont="1" applyNumberFormat="1"/>
    <xf borderId="18" fillId="0" fontId="4" numFmtId="2" xfId="0" applyBorder="1" applyFont="1" applyNumberFormat="1"/>
    <xf borderId="19" fillId="0" fontId="4" numFmtId="2" xfId="0" applyBorder="1" applyFont="1" applyNumberFormat="1"/>
    <xf borderId="0" fillId="0" fontId="5" numFmtId="0" xfId="0" applyFont="1"/>
    <xf borderId="20" fillId="15" fontId="2" numFmtId="0" xfId="0" applyAlignment="1" applyBorder="1" applyFill="1" applyFont="1">
      <alignment horizontal="center"/>
    </xf>
    <xf borderId="21" fillId="0" fontId="7" numFmtId="0" xfId="0" applyBorder="1" applyFont="1"/>
    <xf borderId="22" fillId="0" fontId="7" numFmtId="0" xfId="0" applyBorder="1" applyFont="1"/>
    <xf borderId="0" fillId="0" fontId="4" numFmtId="1" xfId="0" applyFont="1" applyNumberFormat="1"/>
    <xf borderId="23" fillId="0" fontId="4" numFmtId="0" xfId="0" applyBorder="1" applyFont="1"/>
    <xf borderId="0" fillId="0" fontId="4" numFmtId="165" xfId="0" applyFont="1" applyNumberFormat="1"/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</cellXfs>
  <cellStyles count="1">
    <cellStyle xfId="0" name="Normal" builtinId="0"/>
  </cellStyles>
  <dxfs count="3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Estructura!$L$5:$L$8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'Gráficos'!$H$42:$L$42</c:f>
            </c:strRef>
          </c:cat>
          <c:val>
            <c:numRef>
              <c:f>'Gráficos'!$H$42:$L$42</c:f>
              <c:numCache/>
            </c:numRef>
          </c:val>
        </c:ser>
        <c:axId val="504715249"/>
        <c:axId val="1876851496"/>
      </c:barChart>
      <c:catAx>
        <c:axId val="504715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76851496"/>
      </c:catAx>
      <c:valAx>
        <c:axId val="187685149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50471524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'Gráficos'!$H$5:$H$36</c:f>
            </c:numRef>
          </c:xVal>
          <c:yVal>
            <c:numRef>
              <c:f>'Gráficos'!$M$5:$M$36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887470"/>
        <c:axId val="573458635"/>
      </c:scatterChart>
      <c:valAx>
        <c:axId val="3428874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3458635"/>
      </c:valAx>
      <c:valAx>
        <c:axId val="573458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288747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8</xdr:row>
      <xdr:rowOff>38100</xdr:rowOff>
    </xdr:from>
    <xdr:ext cx="4381500" cy="2762250"/>
    <xdr:graphicFrame>
      <xdr:nvGraphicFramePr>
        <xdr:cNvPr id="32450024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161925</xdr:colOff>
      <xdr:row>19</xdr:row>
      <xdr:rowOff>19050</xdr:rowOff>
    </xdr:from>
    <xdr:ext cx="4286250" cy="2695575"/>
    <xdr:graphicFrame>
      <xdr:nvGraphicFramePr>
        <xdr:cNvPr id="6171190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200025</xdr:colOff>
      <xdr:row>34</xdr:row>
      <xdr:rowOff>28575</xdr:rowOff>
    </xdr:from>
    <xdr:ext cx="4286250" cy="2695575"/>
    <xdr:graphicFrame>
      <xdr:nvGraphicFramePr>
        <xdr:cNvPr id="67922903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personal/iporto_compite_com_co/Documents/ICC%202021/CPC/2.%20Infraestructura%20y%20equipamiento/INF-4/INF-4-6%20Bienes%20Inter&#233;s%20Cultural/INF-4-6_202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Índice"/>
      <sheetName val="1"/>
      <sheetName val="2"/>
      <sheetName val="3"/>
      <sheetName val="4"/>
      <sheetName val="5"/>
      <sheetName val="6"/>
      <sheetName val="BIC+"/>
      <sheetName val="7"/>
      <sheetName val="8"/>
      <sheetName val="9"/>
      <sheetName val="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129" sheet="Valor_normalizado"/>
  </cacheSource>
  <cacheFields>
    <cacheField name="Ciudad o AM" numFmtId="0">
      <sharedItems>
        <s v="Bogotá D.C."/>
        <s v="Armenia"/>
        <s v="Medellín AM"/>
        <s v="Tunja"/>
        <s v="Pereira AM"/>
        <s v="Bucaramanga AM"/>
        <s v="Cali AM"/>
        <s v="Neiva"/>
        <s v="Ibagué"/>
        <s v="Pasto"/>
        <s v="Manizales AM"/>
        <s v="Popayán"/>
        <s v="Villavicencio"/>
        <s v="Cartagena"/>
        <s v="Santa Marta"/>
        <s v="Barranquilla AM"/>
        <s v="Valledupar"/>
        <s v="Yopal"/>
        <s v="Sincelejo"/>
        <s v="Cúcuta AM"/>
        <s v="Quibdó"/>
        <s v="Riohacha"/>
        <s v="Florencia"/>
        <s v="Montería"/>
        <s v="Arauca"/>
        <s v="San Andrés"/>
        <s v="Mocoa"/>
        <s v="San José del Guaviare"/>
        <s v="Puerto Carreño"/>
        <s v="Inírida"/>
        <s v="Leticia"/>
        <s v="Mitú"/>
      </sharedItems>
    </cacheField>
    <cacheField name="Año" numFmtId="0">
      <sharedItems containsSemiMixedTypes="0" containsString="0" containsNumber="1" containsInteger="1">
        <n v="2019.0"/>
        <n v="2020.0"/>
        <n v="2021.0"/>
        <n v="2022.0"/>
      </sharedItems>
    </cacheField>
    <cacheField name="TIC-1-1" numFmtId="2">
      <sharedItems containsSemiMixedTypes="0" containsString="0" containsNumber="1">
        <n v="8.544282321004411"/>
        <n v="8.303359348489991"/>
        <n v="8.137669568991132"/>
        <n v="8.07940278249067"/>
        <n v="7.302330398823233"/>
        <n v="7.177912833889215"/>
        <n v="7.113857886027973"/>
        <n v="7.098744485917884"/>
        <n v="6.996946046827283"/>
        <n v="6.620291822192059"/>
        <n v="6.354440248363945"/>
        <n v="6.094333220223957"/>
        <n v="5.812690872073296"/>
        <n v="5.208686800135731"/>
        <n v="5.039022734984729"/>
        <n v="4.651568680391791"/>
        <n v="4.642008822531388"/>
        <n v="4.540210383440787"/>
        <n v="4.4689514760773665"/>
        <n v="4.390241166730281"/>
        <n v="4.061757719714964"/>
        <n v="3.888700373260943"/>
        <n v="3.8106549032914834"/>
        <n v="3.6952833389888022"/>
        <n v="2.6671191041737363"/>
        <n v="2.4228028503562946"/>
        <n v="2.3617237869019343"/>
        <n v="1.336952833389888"/>
        <n v="1.2826603325415677"/>
        <n v="0.8788598574821853"/>
        <n v="0.5598914149983034"/>
        <n v="0.016966406515100098"/>
        <n v="2.684085510688836"/>
        <n v="8.486596538853071"/>
        <n v="5.697486152310419"/>
        <n v="8.520529351883273"/>
        <n v="7.229360051853221"/>
        <n v="7.364765002168044"/>
        <n v="5.252799457074992"/>
        <n v="4.517531458585367"/>
        <n v="4.238208347472005"/>
        <n v="7.227689175432643"/>
        <n v="1.2690872073294877"/>
        <n v="0.7872412623006448"/>
        <n v="6.437770720194455"/>
        <n v="8.328507003894094"/>
        <n v="0.030539531727180182"/>
        <n v="1.9409569053274522"/>
        <n v="3.8785205293518827"/>
        <n v="7.241262300644724"/>
        <n v="6.7288768238887"/>
        <n v="7.642505089210211"/>
        <n v="6.053613844587717"/>
        <n v="1.7645062775704106"/>
        <n v="4.384119443501866"/>
        <n v="3.678316932473702"/>
        <n v="2.3990498812351544"/>
        <n v="1.3607058025110281"/>
        <n v="5.364777740074651"/>
        <n v="4.251781472684085"/>
        <n v="8.401764506277571"/>
        <n v="4.706481167288769"/>
        <n v="6.185951815405498"/>
        <n v="5.697319307770615"/>
        <n v="3.3661350525958604"/>
        <n v="9.538513742789277"/>
        <n v="6.003541817313653"/>
        <n v="9.049881235154395"/>
        <n v="7.772498029981954"/>
        <n v="7.942823782009603"/>
        <n v="5.395317271801833"/>
        <n v="4.909301400577482"/>
        <n v="4.625042416016288"/>
        <n v="7.563624024431626"/>
        <n v="1.3810654903291484"/>
        <n v="0.8313539192399051"/>
        <n v="7.158057208199292"/>
        <n v="8.77004216179063"/>
        <n v="0.01017984390906006"/>
        <n v="1.9070240922972514"/>
        <n v="4.187309127926706"/>
        <n v="7.9979640312181886"/>
        <n v="6.990159484221245"/>
        <n v="8.804319302225263"/>
        <n v="6.55581947743468"/>
        <n v="2.185273159144893"/>
        <n v="4.587716321683067"/>
        <n v="4.027824906684764"/>
        <n v="1.7780794027824909"/>
        <n v="1.296233457753648"/>
        <n v="5.643026806922294"/>
        <n v="4.832032575500509"/>
        <n v="8.710553104852393"/>
        <n v="5.164574143196471"/>
        <n v="6.674584323040381"/>
        <n v="6.70173057346454"/>
        <n v="3.7902952154733627"/>
        <n v="9.88462843569732"/>
        <n v="6.348338474802608"/>
        <n v="9.358669833729218"/>
        <n v="8.380245283890911"/>
        <n v="8.131031920831322"/>
        <n v="5.870376654224636"/>
        <n v="5.452204249989652"/>
        <n v="5.066168985408891"/>
        <n v="8.951476077366815"/>
        <n v="0.9026128266033255"/>
        <n v="0.7295554801493045"/>
        <n v="7.192540190011728"/>
        <n v="9.191070953134018"/>
        <n v="0.0"/>
        <n v="1.6559212758737698"/>
        <n v="4.496097726501527"/>
        <n v="8.534102477095352"/>
        <n v="7.156430268069222"/>
        <n v="9.185999011115765"/>
        <n v="6.71869697997964"/>
        <n v="1.940956905327452"/>
        <n v="4.428232100441126"/>
        <n v="4.631828978622329"/>
        <n v="2.375296912114014"/>
        <n v="0.9569053274516458"/>
        <n v="6.4031218187987795"/>
        <n v="4.865965388530709"/>
        <n v="9.284017645062775"/>
        <n v="5.273159144893111"/>
        <n v="6.78316932473702"/>
        <n v="6.925687139463862"/>
      </sharedItems>
    </cacheField>
    <cacheField name="TIC-1-2" numFmtId="2">
      <sharedItems containsSemiMixedTypes="0" containsString="0" containsNumber="1">
        <n v="0.6498412161648912"/>
        <n v="0.45331118353027533"/>
        <n v="0.5882317281913777"/>
        <n v="0.40860287121914723"/>
        <n v="0.4892008825554832"/>
        <n v="0.4916978438444477"/>
        <n v="0.530309727888127"/>
        <n v="0.3486206604650056"/>
        <n v="0.4407408459081608"/>
        <n v="0.3974464874687882"/>
        <n v="0.4270731256331944"/>
        <n v="0.43361209601239736"/>
        <n v="0.4667298510989405"/>
        <n v="0.5252796252243916"/>
        <n v="0.4987704813450358"/>
        <n v="0.6152846351509953"/>
        <n v="0.4380304804632197"/>
        <n v="0.4603354112377993"/>
        <n v="0.36899868235720223"/>
        <n v="0.4570550350955787"/>
        <n v="0.2579992011902284"/>
        <n v="0.28337709783051385"/>
        <n v="0.30065948276761234"/>
        <n v="0.4084620502840803"/>
        <n v="0.26550273999302476"/>
        <n v="0.03442380976438699"/>
        <n v="0.25180251293139017"/>
        <n v="0.35299518083989484"/>
        <n v="0.0"/>
        <n v="0.0014639450866679555"/>
        <n v="0.041581041701628615"/>
        <n v="0.0804500642537484"/>
        <n v="0.3645158301866175"/>
        <n v="0.6950735145627353"/>
        <n v="1.2496262144847767"/>
        <n v="1.4559984801240473"/>
        <n v="1.0425908215366988"/>
        <n v="1.1934277509213629"/>
        <n v="1.3349405966703152"/>
        <n v="1.1883002229361515"/>
        <n v="0.4829837850503474"/>
        <n v="1.037965797160078"/>
        <n v="0.008797321414674455"/>
        <n v="0.05406521270440106"/>
        <n v="0.7696861499000253"/>
        <n v="0.9943852330856047"/>
        <n v="0.18789794605467647"/>
        <n v="0.30977584602606273"/>
        <n v="0.9106579557881439"/>
        <n v="0.7035242181023689"/>
        <n v="0.8125507875763271"/>
        <n v="0.8169845479004694"/>
        <n v="0.7968597053216208"/>
        <n v="0.00669665444782739"/>
        <n v="0.3281538989109256"/>
        <n v="0.6564631484268485"/>
        <n v="0.034433539879129754"/>
        <n v="0.4659083453641413"/>
        <n v="1.052818669497122"/>
        <n v="0.7324042782240032"/>
        <n v="0.7656491810320692"/>
        <n v="0.9138560219348433"/>
        <n v="1.1551304630081807"/>
        <n v="0.6818797760423148"/>
        <n v="0.4536856829165635"/>
        <n v="1.4739990128302296"/>
        <n v="2.163502413978323"/>
        <n v="2.5865928577180757"/>
        <n v="2.142690954111321"/>
        <n v="2.241778698841307"/>
        <n v="2.3973402225768994"/>
        <n v="2.0479511400125494"/>
        <n v="0.9114403822780287"/>
        <n v="2.0896311411879727"/>
        <n v="0.0072988702898602485"/>
        <n v="0.04175036988049606"/>
        <n v="1.731374629517882"/>
        <n v="2.1176949121275963"/>
        <n v="0.22339074741174053"/>
        <n v="0.38102480485644735"/>
        <n v="1.8949704406512715"/>
        <n v="1.477413638456964"/>
        <n v="1.7455141260895402"/>
        <n v="1.6125985564780656"/>
        <n v="1.5940482550635038"/>
        <n v="0.006791368067997991"/>
        <n v="0.37974306937704644"/>
        <n v="1.3505532624441292"/>
        <n v="0.02255496964063087"/>
        <n v="0.5240810068786566"/>
        <n v="1.8219923662160853"/>
        <n v="1.4253726406916247"/>
        <n v="2.0250588373107306"/>
        <n v="1.83931176759923"/>
        <n v="2.276664602579188"/>
        <n v="1.3663395691239513"/>
        <n v="0.6413914494691879"/>
        <n v="3.943282998574938"/>
        <n v="4.376727135000432"/>
        <n v="5.53598301827531"/>
        <n v="4.866302129725632"/>
        <n v="4.966878193999823"/>
        <n v="4.276636843447285"/>
        <n v="4.197967560237135"/>
        <n v="2.0802424100072585"/>
        <n v="4.261135818942006"/>
        <n v="0.025549475126210034"/>
        <n v="0.04991277734312353"/>
        <n v="4.378098217833072"/>
        <n v="4.899709911711064"/>
        <n v="0.4420122764176172"/>
        <n v="0.47449687166585286"/>
        <n v="4.04699036203886"/>
        <n v="3.4802286113777647"/>
        <n v="4.097336297855058"/>
        <n v="3.760069565018312"/>
        <n v="3.786651034814059"/>
        <n v="0.0191958917722109"/>
        <n v="0.4856009106623422"/>
        <n v="3.50933511241954"/>
        <n v="0.10031664282034139"/>
        <n v="0.9931602096385987"/>
        <n v="3.9175714483221915"/>
        <n v="3.4727574280756803"/>
        <n v="4.780563789870888"/>
        <n v="4.169167809902411"/>
        <n v="5.03252283832467"/>
        <n v="3.196492508389185"/>
      </sharedItems>
    </cacheField>
    <cacheField name="TIC-1-3" numFmtId="2">
      <sharedItems containsSemiMixedTypes="0" containsString="0" containsNumber="1">
        <n v="9.568893527742695"/>
        <n v="5.578772091038728"/>
        <n v="7.074534601798414"/>
        <n v="6.663432768290594"/>
        <n v="7.316308140264348"/>
        <n v="7.09192711376157"/>
        <n v="7.231059969207195"/>
        <n v="5.460028673378133"/>
        <n v="5.9627140676197135"/>
        <n v="5.7563656570313"/>
        <n v="7.059517779714187"/>
        <n v="6.02442272823159"/>
        <n v="5.748648334707244"/>
        <n v="3.6269514219492565"/>
        <n v="3.8847664507645323"/>
        <n v="6.153825053899039"/>
        <n v="3.8144049576733523"/>
        <n v="5.885524359698251"/>
        <n v="3.2161412932658644"/>
        <n v="5.158312862928622"/>
        <n v="2.6916712397362237"/>
        <n v="1.873208945287691"/>
        <n v="3.919281418423268"/>
        <n v="3.223223043571799"/>
        <n v="2.081354005539669"/>
        <n v="4.696153657390431"/>
        <n v="3.837415134723123"/>
        <n v="4.8264385364014135"/>
        <n v="2.2619333209932346"/>
        <n v="2.0912455001921817"/>
        <n v="0.9663715362304524"/>
        <n v="3.6158545053179996"/>
        <n v="2.301919342994936"/>
        <n v="6.30689237580836"/>
        <n v="5.395339391070188"/>
        <n v="10.0"/>
        <n v="5.935382936122159"/>
        <n v="6.264302442277518"/>
        <n v="3.3888774214330635"/>
        <n v="4.238404167188667"/>
        <n v="2.9053885915774282"/>
        <n v="6.138041847624559"/>
        <n v="1.9560418668428434"/>
        <n v="1.1145780258784648"/>
        <n v="6.930020102896837"/>
        <n v="6.3319042589521874"/>
        <n v="2.8951254964674016"/>
        <n v="3.1086124058306286"/>
        <n v="2.3857966855434745"/>
        <n v="5.6451111414339366"/>
        <n v="5.361078392219353"/>
        <n v="6.585184068578931"/>
        <n v="5.195531625199486"/>
        <n v="1.6742755175033346"/>
        <n v="3.4016761782432896"/>
        <n v="1.6919229552164374"/>
        <n v="4.870836422345268"/>
        <n v="3.287679734796043"/>
        <n v="2.5420701063615088"/>
        <n v="2.6461630843529136"/>
        <n v="6.602472093303974"/>
        <n v="3.568183101189967"/>
        <n v="4.665988063552695"/>
        <n v="4.396156695410594"/>
      </sharedItems>
    </cacheField>
    <cacheField name="TIC-1-4" numFmtId="2">
      <sharedItems containsSemiMixedTypes="0" containsString="0" containsNumber="1">
        <n v="9.513600979353026"/>
        <n v="6.773650562784005"/>
        <n v="7.415283653728405"/>
        <n v="7.126196777328044"/>
        <n v="8.93535706587533"/>
        <n v="7.984442141914703"/>
        <n v="8.592928016580974"/>
        <n v="6.855535873299441"/>
        <n v="7.611384428329591"/>
        <n v="6.226105408723734"/>
        <n v="7.317938871766189"/>
        <n v="6.5637440853932025"/>
        <n v="8.151032190835135"/>
        <n v="5.083352380977518"/>
        <n v="4.778276124460811"/>
        <n v="7.431181066766151"/>
        <n v="6.201572726192477"/>
        <n v="6.998254642270995"/>
        <n v="3.3279075087636762"/>
        <n v="6.76160101822873"/>
        <n v="3.8928224012732704"/>
        <n v="4.423953015935796"/>
        <n v="5.244225372604378"/>
        <n v="3.9381236929938246"/>
        <n v="5.388455819020903"/>
        <n v="7.364539938644173"/>
        <n v="3.704472316643128"/>
        <n v="5.758407540630958"/>
        <n v="2.040039651729391"/>
        <n v="1.254618491530107"/>
        <n v="0.24314891641270042"/>
        <n v="0.0"/>
        <n v="6.826159350944124"/>
        <n v="7.236620942844958"/>
        <n v="7.286569729374536"/>
        <n v="9.24514721966052"/>
        <n v="8.067689412977371"/>
        <n v="9.125846865427327"/>
        <n v="6.367782670741486"/>
        <n v="7.096918427480247"/>
        <n v="6.279852464004629"/>
        <n v="7.806938557083207"/>
        <n v="3.153106912629096"/>
        <n v="0.5491443848632712"/>
        <n v="7.796658848926016"/>
        <n v="7.929417314528923"/>
        <n v="1.617506512220737"/>
        <n v="5.77460491186662"/>
        <n v="6.167929796654147"/>
        <n v="7.5311170960045235"/>
        <n v="6.98599776209946"/>
        <n v="8.902924173126214"/>
        <n v="6.94879483917026"/>
        <n v="1.4205083539374144"/>
        <n v="4.035059943602134"/>
        <n v="4.688656358599991"/>
        <n v="9.402323414408958"/>
        <n v="7.011186013235905"/>
        <n v="5.761743067925732"/>
        <n v="4.709029568346582"/>
        <n v="8.08764159311181"/>
        <n v="5.824825841414483"/>
        <n v="8.692275294825553"/>
        <n v="6.865832362334837"/>
      </sharedItems>
    </cacheField>
    <cacheField name="TIC-1" numFmtId="2">
      <sharedItems containsSemiMixedTypes="0" containsString="0" containsNumber="1">
        <n v="7.069154511066257"/>
        <n v="5.27727329646075"/>
        <n v="5.803929888177332"/>
        <n v="5.5694087998321145"/>
        <n v="6.010799121879598"/>
        <n v="5.686494983352484"/>
        <n v="5.867038899926067"/>
        <n v="4.940732423265116"/>
        <n v="5.252946347171187"/>
        <n v="4.75005234385397"/>
        <n v="5.289742506369379"/>
        <n v="4.779028032465287"/>
        <n v="5.044775312178654"/>
        <n v="3.611067557071724"/>
        <n v="3.5502089478887773"/>
        <n v="4.712964859051994"/>
        <n v="3.7740042467151094"/>
        <n v="4.471081199161958"/>
        <n v="2.8454997401160274"/>
        <n v="4.191802520745803"/>
        <n v="2.7260626404786716"/>
        <n v="2.6173098580787357"/>
        <n v="3.3187052942716857"/>
        <n v="2.8162730314596263"/>
        <n v="2.600607917181833"/>
        <n v="3.6294800640388214"/>
        <n v="2.5388534377998937"/>
        <n v="3.0686985228155383"/>
        <n v="1.3961583263160482"/>
        <n v="1.0565469485727854"/>
        <n v="0.45274822733577114"/>
        <n v="0.9283177440217121"/>
        <n v="2.6296027913590065"/>
        <n v="5.383523176809635"/>
        <n v="5.133029621865096"/>
        <n v="7.26475558477576"/>
        <n v="5.837080032266549"/>
        <n v="6.095545184719393"/>
        <n v="3.82451096416802"/>
        <n v="4.406436390669718"/>
        <n v="3.4711747308874994"/>
        <n v="5.459938367135506"/>
        <n v="1.1559371301166128"/>
        <n v="0.5127067319120497"/>
        <n v="5.396228380393714"/>
        <n v="5.95317762312663"/>
        <n v="0.958572995774964"/>
        <n v="2.4481550506799414"/>
        <n v="2.9876313054264125"/>
        <n v="5.065087766356166"/>
        <n v="4.880974669305015"/>
        <n v="6.17778871081259"/>
        <n v="4.859660090883532"/>
        <n v="1.518293976185216"/>
        <n v="2.8241917458555714"/>
        <n v="2.657985510531009"/>
        <n v="3.6235442542872223"/>
        <n v="3.102865056226885"/>
        <n v="3.7701597461992793"/>
        <n v="2.8820586382344073"/>
        <n v="5.7392608082320695"/>
        <n v="3.9090787182723603"/>
        <n v="5.310190700989015"/>
        <n v="4.815744521445544"/>
        <n v="2.822407640018249"/>
        <n v="5.84123385236056"/>
        <n v="5.4380125879892915"/>
        <n v="7.679742149992048"/>
        <n v="6.247889559942388"/>
        <n v="6.50214761665977"/>
        <n v="4.125740324326376"/>
        <n v="4.719291605436846"/>
        <n v="3.6749973973304906"/>
        <n v="5.806838415392226"/>
        <n v="1.1835570880853243"/>
        <n v="0.5206561854408885"/>
        <n v="5.816722122299388"/>
        <n v="6.344388832361262"/>
        <n v="0.9623562741597002"/>
        <n v="2.4574840871299877"/>
        <n v="3.3109065762859"/>
        <n v="5.447735554088182"/>
        <n v="5.179536169016455"/>
        <n v="6.667145766210751"/>
        <n v="5.184508636530744"/>
        <n v="1.6235093749838791"/>
        <n v="2.887988258017402"/>
        <n v="2.918885032588095"/>
        <n v="3.465331992114431"/>
        <n v="3.1012901354161695"/>
        <n v="4.032015437090931"/>
        <n v="3.2003635045554186"/>
        <n v="6.13131037194544"/>
        <n v="4.254965898665382"/>
        <n v="5.712732362790488"/>
        <n v="5.237962286139435"/>
        <n v="3.3899413397204023"/>
        <n v="6.842856188231394"/>
        <n v="5.851743682561942"/>
        <n v="8.534950017916263"/>
        <n v="6.812404940679018"/>
        <n v="7.1220148556339975"/>
        <n v="4.9759183974616175"/>
        <n v="5.246373601223926"/>
        <n v="4.082913112749552"/>
        <n v="6.789398075254147"/>
        <n v="1.5093277703003687"/>
        <n v="0.610797667058541"/>
        <n v="6.574329339916913"/>
        <n v="7.088025609581549"/>
        <n v="1.238661071276439"/>
        <n v="2.7534088663092184"/>
        <n v="4.274203642684502"/>
        <n v="6.297639831477895"/>
        <n v="5.900210680060773"/>
        <n v="7.108544204459806"/>
        <n v="5.662418619790861"/>
        <n v="1.263734167135103"/>
        <n v="3.087642283237223"/>
        <n v="3.630435851214574"/>
        <n v="4.187193347922146"/>
        <n v="3.0622328212805483"/>
        <n v="4.656126610352053"/>
        <n v="3.9234788673264713"/>
        <n v="7.188673780337362"/>
        <n v="4.708833974349993"/>
        <n v="6.293488880359986"/>
        <n v="5.346042176399619"/>
      </sharedItems>
    </cacheField>
    <cacheField name="TIC-2-1" numFmtId="2">
      <sharedItems containsSemiMixedTypes="0" containsString="0" containsNumber="1">
        <n v="4.008368046094199"/>
        <n v="4.1631656224220235"/>
        <n v="3.5794112536491136"/>
        <n v="8.311932919052571"/>
        <n v="5.476631779042514"/>
        <n v="3.8020869331940634"/>
        <n v="2.4776345519760126"/>
        <n v="3.3449083497554346"/>
        <n v="3.8098258657378796"/>
        <n v="3.414158548206536"/>
        <n v="4.584950851588147"/>
        <n v="6.7955677854276475"/>
        <n v="1.3626439423513401"/>
        <n v="1.9486354572040145"/>
        <n v="2.7799804681454887"/>
        <n v="2.990984664036371"/>
        <n v="2.5346151436495"/>
        <n v="1.9158171471766523"/>
        <n v="1.776513601426285"/>
        <n v="2.258126125596157"/>
        <n v="2.0020911835350463"/>
        <n v="1.9578470264429169"/>
        <n v="1.7920746596444834"/>
        <n v="2.420408323713224"/>
        <n v="0.5175803447515446"/>
        <n v="2.6910738226269624"/>
        <n v="1.2628997158856023"/>
        <n v="3.007540097018962"/>
        <n v="1.0554345794258027"/>
        <n v="1.2666236927490802"/>
        <n v="0.27276701259106345"/>
        <n v="0.0"/>
        <n v="0.369167742624584"/>
        <n v="4.6255483107437705"/>
        <n v="2.870384195733959"/>
        <n v="3.873959095238826"/>
        <n v="3.6992582524135575"/>
        <n v="2.33982769401535"/>
        <n v="1.8779465301584366"/>
        <n v="2.085986132927404"/>
        <n v="1.9781449674602491"/>
        <n v="3.585124374321617"/>
        <n v="2.1170159877877217"/>
        <n v="0.28953614546354367"/>
        <n v="4.5458027665934715"/>
        <n v="3.580450182080586"/>
        <n v="0.011323334202458409"/>
        <n v="1.487849998133083"/>
        <n v="2.6109032443783233"/>
        <n v="3.2054877027738913"/>
        <n v="3.3990749633585517"/>
        <n v="5.361490120658034"/>
        <n v="7.496563354861166"/>
        <n v="0.7380614604826125"/>
        <n v="2.128480474315974"/>
        <n v="1.8265643236077147"/>
        <n v="2.4559862011378852"/>
        <n v="3.155410563816406"/>
        <n v="2.6660855238787744"/>
        <n v="1.638619607532661"/>
        <n v="8.401211370837085"/>
        <n v="2.330556588460261"/>
        <n v="1.3595303112988377"/>
        <n v="2.032984223152207"/>
        <n v="0.3433364727240282"/>
        <n v="5.051818083355654"/>
        <n v="2.708815644850655"/>
        <n v="4.168252626073966"/>
        <n v="4.006233807156984"/>
        <n v="2.267206793795496"/>
        <n v="1.865016898259651"/>
        <n v="2.3798376756138975"/>
        <n v="2.1023014492440484"/>
        <n v="4.3742100348973505"/>
        <n v="1.828915810956977"/>
        <n v="1.0927677924773775"/>
        <n v="4.3589916062074066"/>
        <n v="3.654546084676965"/>
        <n v="0.010633343783073951"/>
        <n v="1.333104861077132"/>
        <n v="2.931184180088919"/>
        <n v="2.9345087510696333"/>
        <n v="3.582123113137414"/>
        <n v="5.360058094827631"/>
        <n v="7.0196825878473135"/>
        <n v="0.7892946291027472"/>
        <n v="2.0926080695522957"/>
        <n v="1.5862986197313367"/>
        <n v="3.1858075988920884"/>
        <n v="2.6720166815238033"/>
        <n v="2.7116982276827235"/>
        <n v="1.6671785081311032"/>
        <n v="7.880373482745568"/>
        <n v="2.6440401328393213"/>
        <n v="1.3246873722408812"/>
        <n v="2.474592679927126"/>
        <n v="0.23695848122620844"/>
        <n v="4.953073751577663"/>
        <n v="2.6968011373880927"/>
        <n v="5.793689079513747"/>
        <n v="3.840109742384783"/>
        <n v="2.423694255230453"/>
        <n v="2.032178314342366"/>
        <n v="2.7578889463179967"/>
        <n v="2.3560452288325626"/>
        <n v="3.4166701133330952"/>
        <n v="0.9245757278482224"/>
        <n v="0.6423014358385204"/>
        <n v="4.13071754153969"/>
        <n v="4.125981447301036"/>
        <n v="1.56392085044986"/>
        <n v="2.8937094204313105"/>
        <n v="2.958518446263014"/>
        <n v="3.713408181654054"/>
        <n v="5.196503160096979"/>
        <n v="6.305051624886039"/>
        <n v="1.0114467044894444"/>
        <n v="2.3987761383649224"/>
        <n v="1.8414507683358747"/>
        <n v="1.3330287649908799"/>
        <n v="1.9548232912850545"/>
        <n v="2.427810146652141"/>
        <n v="1.6567513729133656"/>
        <n v="7.532948323936387"/>
        <n v="2.3294805976862616"/>
        <n v="1.647641922256532"/>
        <n v="2.0466712673913565"/>
      </sharedItems>
    </cacheField>
    <cacheField name="TIC-2-2" numFmtId="2">
      <sharedItems containsSemiMixedTypes="0" containsString="0" containsNumber="1">
        <n v="4.857068074260182"/>
        <n v="3.5093219506218065"/>
        <n v="3.549589889978175"/>
        <n v="7.93592008162166"/>
        <n v="5.214153739395432"/>
        <n v="4.33382446247745"/>
        <n v="2.8931954855748754"/>
        <n v="3.524647242296713"/>
        <n v="6.748645199328878"/>
        <n v="4.021783569152156"/>
        <n v="6.032754209375087"/>
        <n v="5.573426132276102"/>
        <n v="2.3299963241136927"/>
        <n v="2.8551294385113994"/>
        <n v="3.662256411873962"/>
        <n v="2.7537514057535506"/>
        <n v="2.7910016001630487"/>
        <n v="0.9307574630803928"/>
        <n v="2.812016630049339"/>
        <n v="2.889207209589817"/>
        <n v="0.9640830726042138"/>
        <n v="1.8204735948833604"/>
        <n v="1.5560888084426494"/>
        <n v="2.5923520941026896"/>
        <n v="1.1162714381207608"/>
        <n v="0.4373334174460233"/>
        <n v="2.8912392589510256"/>
        <n v="0.9807762064610677"/>
        <n v="0.8698596733435159"/>
        <n v="0.8044853091929913"/>
        <n v="0.2030502577366488"/>
        <n v="0.0"/>
        <n v="1.332223692846337"/>
        <n v="3.4767545684715713"/>
        <n v="3.2066830767289707"/>
        <n v="4.9684577412588515"/>
        <n v="4.22255307894906"/>
        <n v="3.0008273777100563"/>
        <n v="2.5806784254589705"/>
        <n v="2.646868642263472"/>
        <n v="0.9282735102045272"/>
        <n v="5.082980403765175"/>
        <n v="1.2924319202805807"/>
        <n v="0.19651737068583786"/>
        <n v="6.409590181137487"/>
        <n v="3.577465361140665"/>
        <n v="2.403438227519165"/>
        <n v="2.8510077145085893"/>
        <n v="3.964255341863492"/>
        <n v="3.428746644085644"/>
        <n v="6.549965364173573"/>
        <n v="5.541025560148054"/>
        <n v="1.0458321151146863"/>
        <n v="1.6471185540058062"/>
        <n v="1.4865623911943717"/>
        <n v="0.7266183908352754"/>
        <n v="1.5170158354270518"/>
        <n v="2.272273990617391"/>
        <n v="3.052420201118294"/>
        <n v="7.443645508685646"/>
        <n v="2.023220561670575"/>
        <n v="2.3246766008606183"/>
        <n v="1.4268474361602879"/>
        <n v="0.5710361995945606"/>
        <n v="3.1364378599305343"/>
        <n v="3.0600206723111127"/>
        <n v="4.704661339260042"/>
        <n v="3.4499315169036175"/>
        <n v="2.1190210738683306"/>
        <n v="2.0813159430346806"/>
        <n v="1.840478665908035"/>
        <n v="1.0185328967561211"/>
        <n v="3.6435736893888198"/>
        <n v="0.8179362628003944"/>
        <n v="0.3090383129258963"/>
        <n v="5.775084284554848"/>
        <n v="3.362562493100131"/>
        <n v="2.8423062971693245"/>
        <n v="2.164833171780354"/>
        <n v="3.2374883384629936"/>
        <n v="2.7801346854448243"/>
        <n v="5.296366817058539"/>
        <n v="3.3473585178049987"/>
        <n v="0.9883797105633809"/>
        <n v="0.7486919061350905"/>
        <n v="1.0650334651233604"/>
        <n v="1.3489592874361116"/>
        <n v="0.2697348387887287"/>
        <n v="1.6361333558173023"/>
        <n v="2.0796296453558267"/>
        <n v="6.402017006130116"/>
        <n v="1.1738663894183001"/>
        <n v="1.14325220098242"/>
        <n v="1.5347977837923743"/>
        <n v="0.7862848193174498"/>
        <n v="4.195535921173469"/>
        <n v="3.935667136969832"/>
        <n v="6.026897661141514"/>
        <n v="4.031024844381413"/>
        <n v="2.6027458749397963"/>
        <n v="2.6946036047949082"/>
        <n v="2.4807258601634614"/>
        <n v="0.9398592244729107"/>
        <n v="4.423883677002418"/>
        <n v="1.4224163553890556"/>
        <n v="0.11905382929086936"/>
        <n v="6.857290083235167"/>
        <n v="3.8066471670805573"/>
        <n v="2.041806231051898"/>
        <n v="3.215293506783405"/>
        <n v="3.3091317265383218"/>
        <n v="3.62357165127364"/>
        <n v="6.817195019719977"/>
        <n v="4.7908414625417475"/>
        <n v="0.14146096463506214"/>
        <n v="1.5109591151668522"/>
        <n v="1.255121067681195"/>
        <n v="0.7595557879438207"/>
        <n v="1.222089650378325"/>
        <n v="1.8750113734106035"/>
        <n v="2.9785688549310856"/>
        <n v="10.0"/>
        <n v="1.973186653742428"/>
        <n v="1.4585777352900855"/>
        <n v="1.9145028879364205"/>
      </sharedItems>
    </cacheField>
    <cacheField name="TIC-2-3" numFmtId="2">
      <sharedItems containsSemiMixedTypes="0" containsString="0" containsNumber="1">
        <n v="8.171128050582048"/>
        <n v="3.576493529516043"/>
        <n v="6.906281392188146"/>
        <n v="9.545588843585653"/>
        <n v="4.384269928499675"/>
        <n v="7.878922176918986"/>
        <n v="5.390888140400638"/>
        <n v="3.339833362878922"/>
        <n v="5.486911304142291"/>
        <n v="3.853631152868877"/>
        <n v="10.0"/>
        <n v="5.170478047627489"/>
        <n v="4.696862258464812"/>
        <n v="5.90911776871713"/>
        <n v="6.764462565738936"/>
        <n v="3.877858535720617"/>
        <n v="2.954558884358565"/>
        <n v="3.323878744903386"/>
        <n v="5.138273355787981"/>
        <n v="4.267564852567512"/>
        <n v="7.175441706553212"/>
        <n v="3.39774271701235"/>
        <n v="1.4772794421792825"/>
        <n v="4.136382438101991"/>
        <n v="3.693198605448207"/>
        <n v="1.641552916149619"/>
        <n v="0.0"/>
        <n v="0.8441174732612422"/>
        <n v="3.73219878272174"/>
        <n v="8.314128700585004"/>
        <n v="7.513147787035396"/>
        <n v="5.208000945458843"/>
        <n v="4.28411038231992"/>
        <n v="4.333451515688708"/>
        <n v="5.580866276664894"/>
        <n v="5.318205991845418"/>
        <n v="1.6117118714175973"/>
        <n v="7.940377001713644"/>
        <n v="7.0684866749394315"/>
        <n v="0.7386397210896413"/>
        <n v="0.9847544761567097"/>
        <n v="3.408970040772912"/>
        <n v="3.501743189741772"/>
        <n v="4.344974295337706"/>
        <n v="5.065000295455889"/>
        <n v="3.5454706612302784"/>
        <n v="2.500147727944218"/>
        <n v="4.431838326537848"/>
        <n v="5.387638125627844"/>
        <n v="3.9393133605152753"/>
        <n v="4.103586834485611"/>
        <n v="2.626307392306329"/>
        <n v="5.768480765821663"/>
        <n v="7.677421261005732"/>
        <n v="7.058145718844177"/>
        <n v="5.2978195355433435"/>
        <n v="4.509543225196478"/>
        <n v="3.9774271701235007"/>
        <n v="6.893872244873841"/>
        <n v="5.287183123559654"/>
        <n v="2.3636471074868526"/>
        <n v="8.075695798617266"/>
        <n v="7.405601843644744"/>
        <n v="0.5909117768717131"/>
        <n v="3.46835667434852"/>
        <n v="4.308633221060096"/>
        <n v="3.7602670921231462"/>
        <n v="3.840926549666135"/>
        <n v="1.9698044082018553"/>
        <n v="4.924363292560422"/>
        <n v="4.866453938426993"/>
        <n v="4.545588843585653"/>
        <n v="4.171246232937422"/>
        <n v="3.6261301187732675"/>
        <n v="3.151627961945282"/>
        <n v="2.806830940140637"/>
        <n v="5.371978963540744"/>
        <n v="7.299533179696272"/>
        <n v="5.520297819535544"/>
        <n v="5.586775394433612"/>
        <n v="3.8914495065886663"/>
        <n v="3.9000177273533065"/>
        <n v="4.0288364947113395"/>
        <n v="1.8802812740057908"/>
        <n v="7.386397210896414"/>
        <n v="6.711575961708917"/>
        <n v="0.6565029841044733"/>
        <n v="2.8313537788808136"/>
        <n v="3.223128286946759"/>
        <n v="3.2955149796135434"/>
        <n v="4.479406724576021"/>
        <n v="4.6427938308810495"/>
        <n v="1.6882349465224844"/>
        <n v="4.220882822194647"/>
        <n v="8.441470188500857"/>
        <n v="4.09088223128287"/>
        <n v="3.6580393547243393"/>
        <n v="2.5607161850735687"/>
      </sharedItems>
    </cacheField>
    <cacheField name="TIC-2" numFmtId="2">
      <sharedItems containsSemiMixedTypes="0" containsString="0" containsNumber="1">
        <n v="5.678854723645475"/>
        <n v="3.7496603675199576"/>
        <n v="4.678427511938478"/>
        <n v="8.597813948086626"/>
        <n v="5.025018482312541"/>
        <n v="5.338277857530166"/>
        <n v="3.587239392650508"/>
        <n v="3.40312965164369"/>
        <n v="5.34846078973635"/>
        <n v="3.7631910900758565"/>
        <n v="6.87256835365441"/>
        <n v="5.846490655110413"/>
        <n v="2.344157876447985"/>
        <n v="3.1668757180600755"/>
        <n v="4.117118216245527"/>
        <n v="4.1697328785096195"/>
        <n v="3.0678250931777225"/>
        <n v="1.93371116487187"/>
        <n v="2.6374696587930035"/>
        <n v="3.4285355636579844"/>
        <n v="1.973577713499275"/>
        <n v="2.6819618246312626"/>
        <n v="3.507868391546782"/>
        <n v="2.803501044942754"/>
        <n v="1.0370437416838625"/>
        <n v="1.5352288940840895"/>
        <n v="1.8771394723386368"/>
        <n v="2.7082329138606736"/>
        <n v="1.872830952739175"/>
        <n v="3.3166770596203525"/>
        <n v="0.7057900621591104"/>
        <n v="0.0"/>
        <n v="0.8485029695773877"/>
        <n v="3.9448338873123605"/>
        <n v="3.9953950137266863"/>
        <n v="5.718848512360894"/>
        <n v="5.144986372799338"/>
        <n v="3.516218672394749"/>
        <n v="2.914245112645775"/>
        <n v="3.0221020969598618"/>
        <n v="2.82909491810989"/>
        <n v="4.718338694076361"/>
        <n v="2.909217966637907"/>
        <n v="0.699255129188993"/>
        <n v="6.298589983148201"/>
        <n v="4.742134072720228"/>
        <n v="0.24998768509736657"/>
        <n v="1.6253475672696525"/>
        <n v="3.2486737804022776"/>
        <n v="3.526237695136765"/>
        <n v="3.443188265728656"/>
        <n v="5.418809926723105"/>
        <n v="6.0341964034883695"/>
        <n v="1.7764547456091926"/>
        <n v="2.0919155854219995"/>
        <n v="2.581655013779978"/>
        <n v="1.5532946780508141"/>
        <n v="2.5423284278673415"/>
        <n v="3.4419992133746695"/>
        <n v="2.8767843897220766"/>
        <n v="7.928411293745459"/>
        <n v="2.819121328205483"/>
        <n v="2.212921932172674"/>
        <n v="2.028713017206275"/>
        <n v="0.5861633818599437"/>
        <n v="4.097280925923934"/>
        <n v="3.845772360994477"/>
        <n v="5.516778408779913"/>
        <n v="4.83810368096826"/>
        <n v="3.228015801069057"/>
        <n v="2.818625355496937"/>
        <n v="2.7325811705484777"/>
        <n v="3.3382355302913362"/>
        <n v="4.434988949281942"/>
        <n v="3.180241439543738"/>
        <n v="1.2551510709633753"/>
        <n v="6.06992389645984"/>
        <n v="4.807570140473947"/>
        <n v="0.20051504021826236"/>
        <n v="1.7200552114677223"/>
        <n v="2.683525412075946"/>
        <n v="3.213451254627049"/>
        <n v="3.556963673214111"/>
        <n v="5.324876967910529"/>
        <n v="5.1440138003694"/>
        <n v="1.577411074674898"/>
        <n v="2.200522355936844"/>
        <n v="2.164086211506944"/>
        <n v="2.168190431510019"/>
        <n v="2.6220382709576513"/>
        <n v="3.0714285073090064"/>
        <n v="2.7641323323575278"/>
        <n v="7.387104221931557"/>
        <n v="2.663050918398348"/>
        <n v="2.0313565639988562"/>
        <n v="2.3870061418882607"/>
        <n v="0.6224535912683001"/>
        <n v="3.9851468709639226"/>
        <n v="4.001482412632889"/>
        <n v="6.373373306783844"/>
        <n v="4.46381080210058"/>
        <n v="3.537738508201287"/>
        <n v="2.872743808575313"/>
        <n v="3.046210844611588"/>
        <n v="3.396592232726438"/>
        <n v="3.956463428348951"/>
        <n v="1.767183655865281"/>
        <n v="0.8805455130450601"/>
        <n v="6.124801611890423"/>
        <n v="4.881401525363504"/>
        <n v="1.420743355202077"/>
        <n v="2.980118902031843"/>
        <n v="3.163592819916032"/>
        <n v="3.5441649375137456"/>
        <n v="5.497701634797659"/>
        <n v="5.246228972769612"/>
        <n v="1.3691555178276906"/>
        <n v="2.3776211801595113"/>
        <n v="2.5094700541849724"/>
        <n v="1.2602731664857283"/>
        <n v="2.3720754340595516"/>
        <n v="2.824689251000056"/>
        <n v="2.952067683346366"/>
        <n v="8.658139504145748"/>
        <n v="2.79784982757052"/>
        <n v="2.2547530040903188"/>
        <n v="2.1739634468004487"/>
      </sharedItems>
    </cacheField>
    <cacheField name="TIC" numFmtId="2">
      <sharedItems containsSemiMixedTypes="0" containsString="0" containsNumber="1">
        <n v="6.374004617355866"/>
        <n v="4.513466831990353"/>
        <n v="5.241178700057905"/>
        <n v="7.083611373959371"/>
        <n v="5.51790880209607"/>
        <n v="5.512386420441324"/>
        <n v="4.7271391462882875"/>
        <n v="4.171931037454403"/>
        <n v="5.300703568453768"/>
        <n v="4.256621716964913"/>
        <n v="6.081155430011895"/>
        <n v="5.3127593437878495"/>
        <n v="3.6944665943133197"/>
        <n v="3.3889716375658994"/>
        <n v="3.8336635820671523"/>
        <n v="4.441348868780807"/>
        <n v="3.4209146699464155"/>
        <n v="3.202396182016914"/>
        <n v="2.7414846994545155"/>
        <n v="3.810169042201894"/>
        <n v="2.349820176988973"/>
        <n v="2.649635841354999"/>
        <n v="3.4132868429092333"/>
        <n v="2.8098870382011905"/>
        <n v="1.8188258294328477"/>
        <n v="2.5823544790614554"/>
        <n v="2.2079964550692655"/>
        <n v="2.8884657183381055"/>
        <n v="1.6344946395276116"/>
        <n v="2.186612004096569"/>
        <n v="0.5792691447474407"/>
        <n v="0.46415887201085604"/>
        <n v="1.739052880468197"/>
        <n v="4.664178532060998"/>
        <n v="4.564212317795891"/>
        <n v="6.491802048568327"/>
        <n v="5.491033202532943"/>
        <n v="4.805881928557071"/>
        <n v="3.369378038406898"/>
        <n v="3.7142692438147895"/>
        <n v="3.1501348244986946"/>
        <n v="5.089138530605934"/>
        <n v="2.03257754837726"/>
        <n v="0.6059809305505214"/>
        <n v="5.847409181770957"/>
        <n v="5.347655847923429"/>
        <n v="0.6042803404361653"/>
        <n v="2.0367513089747966"/>
        <n v="3.1181525429143453"/>
        <n v="4.295662730746466"/>
        <n v="4.1620814675168365"/>
        <n v="5.798299318767848"/>
        <n v="5.4469282471859515"/>
        <n v="1.6473743608972042"/>
        <n v="2.4580536656387855"/>
        <n v="2.6198202621554936"/>
        <n v="2.588419466169018"/>
        <n v="2.8225967420471134"/>
        <n v="3.6060794797869744"/>
        <n v="2.879421513978242"/>
        <n v="6.833836050988764"/>
        <n v="3.3641000232389215"/>
        <n v="3.761556316580844"/>
        <n v="3.4222287693259097"/>
        <n v="1.7042855109390964"/>
        <n v="4.969257389142246"/>
        <n v="4.641892474491884"/>
        <n v="6.598260279385981"/>
        <n v="5.542996620455324"/>
        <n v="4.865081708864414"/>
        <n v="3.4721828399116568"/>
        <n v="3.725936387992662"/>
        <n v="3.5066164638109134"/>
        <n v="5.1209136823370836"/>
        <n v="2.181899263814531"/>
        <n v="0.8879036282021319"/>
        <n v="5.943323009379614"/>
        <n v="5.575979486417603"/>
        <n v="0.5814356571889813"/>
        <n v="2.088769649298855"/>
        <n v="2.997215994180923"/>
        <n v="4.330593404357615"/>
        <n v="4.368249921115282"/>
        <n v="5.996011367060641"/>
        <n v="5.164261218450072"/>
        <n v="1.6004602248293887"/>
        <n v="2.544255306977123"/>
        <n v="2.5414856220475195"/>
        <n v="2.8167612118122247"/>
        <n v="2.86166420318691"/>
        <n v="3.5517219721999687"/>
        <n v="2.982247918456473"/>
        <n v="6.759207296938499"/>
        <n v="3.459008408531865"/>
        <n v="3.8720444633946722"/>
        <n v="3.8124842140138475"/>
        <n v="2.0061974654943513"/>
        <n v="5.414001529597659"/>
        <n v="4.9266130475974155"/>
        <n v="7.454161662350053"/>
        <n v="5.638107871389799"/>
        <n v="5.329876681917643"/>
        <n v="3.9243311030184658"/>
        <n v="4.146292222917757"/>
        <n v="3.739752672737995"/>
        <n v="5.372930751801549"/>
        <n v="1.6382557130828248"/>
        <n v="0.7456715900518006"/>
        <n v="6.349565475903669"/>
        <n v="5.984713567472526"/>
        <n v="0.6193305356382195"/>
        <n v="2.0870761107556475"/>
        <n v="3.6271612723581725"/>
        <n v="4.730616325696964"/>
        <n v="4.722187808787259"/>
        <n v="6.303122919628732"/>
        <n v="5.454323796280236"/>
        <n v="1.3164448424813968"/>
        <n v="2.7326317316983673"/>
        <n v="3.069952952699773"/>
        <n v="2.723733257203937"/>
        <n v="2.71715412767005"/>
        <n v="3.740407930676054"/>
        <n v="3.4377732753364185"/>
        <n v="7.923406642241555"/>
        <n v="3.7533419009602564"/>
        <n v="4.274120942225152"/>
        <n v="3.760002811600034"/>
      </sharedItems>
    </cacheField>
    <cacheField name="INN-1-1" numFmtId="2">
      <sharedItems containsSemiMixedTypes="0" containsString="0" containsNumber="1">
        <n v="3.328279098607484"/>
        <n v="1.305810674425346"/>
        <n v="3.543171469499705"/>
        <n v="4.787310829977217"/>
        <n v="1.7780030891335408"/>
        <n v="2.789845161713447"/>
        <n v="3.089578053933147"/>
        <n v="1.2326944965616229"/>
        <n v="1.1437373537121474"/>
        <n v="0.5606025901752876"/>
        <n v="6.5104933172180255"/>
        <n v="1.9045627802808072"/>
        <n v="0.41462063104338753"/>
        <n v="2.1506065697855385"/>
        <n v="2.426975325459275"/>
        <n v="3.0419735062786724"/>
        <n v="0.5618465942906079"/>
        <n v="0.0"/>
        <n v="0.9912661406867106"/>
        <n v="0.4739914568653467"/>
        <n v="0.4261116703373951"/>
        <n v="2.0503034751441787"/>
        <n v="1.3460696981733369"/>
        <n v="4.575389991641236"/>
        <n v="1.1006761082378849"/>
        <n v="3.717896419370699"/>
        <n v="4.213862961558003"/>
        <n v="3.772502514396817"/>
        <n v="3.56135938817888"/>
        <n v="2.7982276221215723"/>
        <n v="1.0130509606328708"/>
        <n v="0.6449766219975396"/>
        <n v="1.4381462619901528"/>
        <n v="4.502996356301888"/>
        <n v="7.932299831245562"/>
        <n v="4.550705708101288"/>
        <n v="2.428600256318765"/>
        <n v="1.8303131355376336"/>
        <n v="1.121724748477781"/>
        <n v="3.971205496168295"/>
        <n v="4.104665827757467"/>
        <n v="0.8469478159270687"/>
        <n v="3.3759532829250367"/>
        <n v="1.013553345837593"/>
        <n v="3.0638774616681097"/>
        <n v="2.3054851196564523"/>
        <n v="9.056079344941644"/>
        <n v="0.8576367842455035"/>
        <n v="0.4088117377057735"/>
        <n v="1.0918776246769426"/>
        <n v="3.6389303268792865"/>
        <n v="4.137952880027702"/>
        <n v="3.6897765392980237"/>
        <n v="3.5275885637703186"/>
        <n v="2.7599203343000607"/>
        <n v="0.9843761764451507"/>
        <n v="0.6355639747640578"/>
        <n v="1.4372025806317494"/>
        <n v="4.323406786213459"/>
        <n v="7.84276060184547"/>
        <n v="4.489728448278135"/>
        <n v="2.38741872149628"/>
        <n v="1.796810404215354"/>
        <n v="1.0957093650037468"/>
        <n v="3.932869058823225"/>
        <n v="4.026803774775391"/>
        <n v="0.8160907229513249"/>
        <n v="3.2065716288398933"/>
        <n v="0.9782462418622577"/>
        <n v="3.0126227803866468"/>
        <n v="2.239754097729268"/>
        <n v="8.911651037875192"/>
        <n v="0.837178522864467"/>
        <n v="0.3980375739418327"/>
        <n v="1.8073316028681958"/>
        <n v="3.887124085777428"/>
        <n v="4.800680460103922"/>
        <n v="4.479885183359672"/>
        <n v="3.795134652502265"/>
        <n v="2.6143920434966255"/>
        <n v="1.3370849319138742"/>
        <n v="1.5717766077392064"/>
        <n v="2.047737459074322"/>
        <n v="4.217776122191546"/>
        <n v="9.369617406043261"/>
        <n v="5.259773316138988"/>
        <n v="2.894259334368185"/>
        <n v="1.7783921183905036"/>
        <n v="1.4930208102268339"/>
        <n v="3.6072246121537317"/>
        <n v="4.47418215520333"/>
        <n v="0.8024274745826286"/>
        <n v="2.0733860981224272"/>
        <n v="0.9794293376621834"/>
        <n v="3.6699065201630896"/>
        <n v="2.0075339552712825"/>
        <n v="10.0"/>
        <n v="0.8179620006556829"/>
        <n v="0.5881031828553694"/>
        <n v="0.2979897184536719"/>
      </sharedItems>
    </cacheField>
    <cacheField name="INN-1-2" numFmtId="2">
      <sharedItems containsSemiMixedTypes="0" containsString="0" containsNumber="1">
        <n v="6.545814074759489"/>
        <n v="0.0"/>
        <n v="4.925489741476374"/>
        <n v="10.0"/>
        <n v="1.2162940720232576"/>
        <n v="3.5979422191110153"/>
        <n v="2.4119880258156194"/>
        <n v="2.205103728621403"/>
        <n v="7.812828919442618"/>
        <n v="0.815445304303052"/>
        <n v="2.226133961140564"/>
        <n v="2.6035615797745395"/>
        <n v="2.632400906625048"/>
        <n v="1.3983172043608338"/>
        <n v="0.8824502307710878"/>
        <n v="1.443152441566467"/>
        <n v="5.757547016428023"/>
        <n v="6.846828358500029"/>
        <n v="2.793215982950298"/>
        <n v="2.7648233735200516"/>
        <n v="0.8632702571894648"/>
        <n v="2.213771087798532"/>
        <n v="9.403139214477678"/>
        <n v="4.80243508121203"/>
        <n v="0.868434913429481"/>
        <n v="3.3091883653915795"/>
        <n v="1.2015806672470928"/>
        <n v="2.6909180942548327"/>
        <n v="3.3245839551039262"/>
        <n v="1.4316163021535888"/>
        <n v="5.6352598575243675"/>
        <n v="6.723487067229002"/>
        <n v="2.7319644622503727"/>
        <n v="2.7386057542093596"/>
        <n v="0.8514522256796354"/>
        <n v="2.151109473871449"/>
        <n v="9.29699725601443"/>
        <n v="4.73808476930116"/>
        <n v="0.8537089483245163"/>
        <n v="3.2324406566240755"/>
        <n v="1.1899810857070765"/>
        <n v="2.639873644836215"/>
        <n v="3.268967993583212"/>
        <n v="4.875014571880659"/>
        <n v="7.143516539320053"/>
        <n v="2.349522149855064"/>
        <n v="2.73072847909972"/>
        <n v="1.2592147641154887"/>
        <n v="2.103744092887533"/>
        <n v="7.5385117144561455"/>
        <n v="4.573933024391332"/>
        <n v="0.8432912570048272"/>
        <n v="3.203305430041683"/>
        <n v="1.773605888921232"/>
        <n v="1.3036284098410402"/>
        <n v="4.009834285229321"/>
        <n v="8.17893212785422"/>
      </sharedItems>
    </cacheField>
    <cacheField name="INN-1-3" numFmtId="2">
      <sharedItems containsSemiMixedTypes="0" containsString="0" containsNumber="1">
        <n v="4.727586251497745"/>
        <n v="3.4561928822748667"/>
        <n v="4.865892461339384"/>
        <n v="10.0"/>
        <n v="2.255520335061215"/>
        <n v="4.196748915009362"/>
        <n v="3.468170853268423"/>
        <n v="1.8882384296704293"/>
        <n v="2.442145707846883"/>
        <n v="3.721161960628298"/>
        <n v="6.390936002762824"/>
        <n v="3.763578269158333"/>
        <n v="0.9980376583857586"/>
        <n v="2.815424118056498"/>
        <n v="2.5749852098391917"/>
        <n v="3.8209438428949696"/>
        <n v="0.819652614950547"/>
        <n v="0.5723694363055544"/>
        <n v="2.603004105832463"/>
        <n v="1.1668804714512127"/>
        <n v="0.9946161059681407"/>
        <n v="3.375664489503894"/>
        <n v="2.2429388281015052"/>
        <n v="2.5364720204158537"/>
        <n v="0.09386954612885187"/>
        <n v="0.5812030967381879"/>
        <n v="0.0"/>
        <n v="3.0036733943561025"/>
        <n v="4.844517651520274"/>
        <n v="0.43721497172450546"/>
        <n v="4.121365071378572"/>
        <n v="5.142000661811279"/>
        <n v="5.68503564613665"/>
        <n v="5.3092911365295015"/>
        <n v="3.9991726330900583"/>
        <n v="3.56993080201981"/>
        <n v="1.8145257571207465"/>
        <n v="1.881854513934503"/>
        <n v="3.0571536364607024"/>
        <n v="3.4488394295390967"/>
        <n v="7.751704285066956"/>
        <n v="5.7543177919399895"/>
        <n v="3.542975201753431"/>
        <n v="2.49215040564863"/>
        <n v="4.7661127480394665"/>
        <n v="3.531753266809938"/>
        <n v="5.6138545758220015"/>
        <n v="0.3923915749456768"/>
        <n v="2.224033033910278"/>
        <n v="4.63773256762285"/>
        <n v="0.8552991701732979"/>
        <n v="3.52956311623891"/>
        <n v="4.484490787482498"/>
        <n v="8.389235752575651"/>
        <n v="1.2355279662236298"/>
        <n v="1.833920701321485"/>
        <n v="0.601576673985895"/>
        <n v="0.4298139842621626"/>
        <n v="4.088420081878238"/>
        <n v="5.032787371807837"/>
        <n v="5.5826233172740745"/>
        <n v="5.192865425830404"/>
        <n v="3.96125021581875"/>
        <n v="3.521059021305928"/>
        <n v="1.763164930755218"/>
        <n v="1.8543911422706716"/>
        <n v="3.0551475964821884"/>
        <n v="3.3112919963531606"/>
        <n v="7.664203605189945"/>
        <n v="5.677212711187466"/>
        <n v="3.482897320979683"/>
        <n v="2.4465331591600226"/>
        <n v="4.6555756033531335"/>
        <n v="3.4976591263878563"/>
        <n v="5.50736448362974"/>
        <n v="0.3764855478437503"/>
        <n v="2.1430041997625966"/>
        <n v="4.405043680166482"/>
        <n v="0.8616132028354049"/>
        <n v="3.4705181202007394"/>
        <n v="4.356634762834552"/>
        <n v="1.206055403314822"/>
        <n v="1.7855880333873282"/>
        <n v="0.5797343693384507"/>
        <n v="0.6720686894783312"/>
        <n v="4.956872726689545"/>
        <n v="5.547472559640509"/>
        <n v="6.759092331222406"/>
        <n v="6.678660732624645"/>
        <n v="4.928880322330878"/>
        <n v="4.351094513923809"/>
        <n v="2.4031549748506182"/>
        <n v="2.980892054283295"/>
        <n v="4.167355582938821"/>
        <n v="3.384217675480246"/>
        <n v="9.148851033134878"/>
        <n v="6.7421989036496175"/>
        <n v="0.24871753522918136"/>
        <n v="0.13000558459184716"/>
        <n v="4.675810941358331"/>
        <n v="4.215925874109552"/>
        <n v="5.385848787812284"/>
        <n v="4.407274262659856"/>
        <n v="7.880968167634254"/>
        <n v="2.8680317227278147"/>
        <n v="4.61277320260828"/>
        <n v="0.8573071289550515"/>
        <n v="0.2783867874434841"/>
        <n v="4.000523789832664"/>
        <n v="4.286552691761202"/>
        <n v="1.8197639121787925"/>
        <n v="2.4022800644203595"/>
        <n v="0.9129198509450254"/>
      </sharedItems>
    </cacheField>
    <cacheField name="INN-1-4" numFmtId="2">
      <sharedItems containsSemiMixedTypes="0" containsString="0" containsNumber="1">
        <n v="9.596412556053814"/>
        <n v="7.219730941704037"/>
        <n v="5.739910313901345"/>
        <n v="5.9192825112107625"/>
        <n v="6.09865470852018"/>
        <n v="6.771300448430493"/>
        <n v="7.354260089686099"/>
        <n v="2.9596412556053813"/>
        <n v="4.349775784753363"/>
        <n v="10.0"/>
        <n v="6.233183856502241"/>
        <n v="0.0"/>
        <n v="6.278026905829596"/>
        <n v="7.309417040358745"/>
        <n v="0.35874439461883406"/>
        <n v="3.901345291479821"/>
        <n v="5.022421524663677"/>
        <n v="7.488789237668161"/>
        <n v="7.040358744394619"/>
        <n v="5.47085201793722"/>
        <n v="4.5291479820627805"/>
        <n v="5.246636771300448"/>
        <n v="7.713004484304933"/>
        <n v="5.605381165919282"/>
        <n v="4.125560538116592"/>
        <n v="7.757847533632287"/>
        <n v="1.4798206278026906"/>
        <n v="2.780269058295964"/>
        <n v="4.573991031390134"/>
        <n v="4.663677130044843"/>
        <n v="5.426008968609866"/>
        <n v="2.6008968609865466"/>
        <n v="4.170403587443946"/>
        <n v="4.798206278026907"/>
        <n v="2.5112107623318387"/>
        <n v="3.811659192825112"/>
        <n v="2.6457399103139014"/>
        <n v="3.8565022421524664"/>
        <n v="2.5560538116591927"/>
        <n v="2.42152466367713"/>
        <n v="4.439461883408072"/>
        <n v="6.816143497757848"/>
        <n v="7.085201793721973"/>
        <n v="5.829596412556054"/>
        <n v="6.188340807174888"/>
        <n v="4.394618834080718"/>
        <n v="4.932735426008969"/>
        <n v="4.2152466367713"/>
        <n v="8.699551569506726"/>
        <n v="2.914798206278027"/>
        <n v="6.636771300448431"/>
        <n v="1.210762331838565"/>
        <n v="3.4977578475336326"/>
        <n v="4.260089686098655"/>
        <n v="3.2286995515695067"/>
      </sharedItems>
    </cacheField>
    <cacheField name="INN-1-5" numFmtId="2">
      <sharedItems containsSemiMixedTypes="0" containsString="0" containsNumber="1">
        <n v="2.663644091810711"/>
        <n v="3.5420799093227546"/>
        <n v="2.768489657126665"/>
        <n v="2.439784641541513"/>
        <n v="4.277415698498158"/>
        <n v="3.20204023802777"/>
        <n v="3.2558798526494757"/>
        <n v="2.3080192689147068"/>
        <n v="3.5279115896854627"/>
        <n v="2.7146500425049593"/>
        <n v="3.18645508642675"/>
        <n v="2.9540946443751777"/>
        <n v="0.9917823746103713"/>
        <n v="3.3833947293850946"/>
        <n v="3.8580334372343437"/>
        <n v="3.0603570416548598"/>
        <n v="5.920940776423916"/>
        <n v="0.0"/>
        <n v="2.3618588835364127"/>
        <n v="4.220742419948994"/>
        <n v="4.7223009351090965"/>
        <n v="1.932558798526495"/>
        <n v="2.1479172570133183"/>
        <n v="3.716350240861434"/>
        <n v="9.016718617172003"/>
        <n v="2.8138282799659957"/>
        <n v="2.983848115613488"/>
        <n v="2.8124114480022673"/>
        <n v="2.7429866817795414"/>
        <n v="3.3097194672711816"/>
        <n v="4.154151317653726"/>
        <n v="2.7713233210541226"/>
        <n v="1.9141399829980166"/>
        <n v="2.6877302351941057"/>
        <n v="6.073958628506659"/>
        <n v="4.628790025502976"/>
        <n v="3.061773873618589"/>
        <n v="4.1966562765656"/>
        <n v="2.6055539812978186"/>
        <n v="4.283083026353075"/>
        <n v="3.074525361292151"/>
        <n v="5.667327854916407"/>
        <n v="2.699064890903939"/>
        <n v="4.601870218192122"/>
        <n v="4.36950977614055"/>
        <n v="3.7035987531878725"/>
        <n v="1.4168319637291018"/>
        <n v="2.296684613204874"/>
        <n v="2.4241994899404933"/>
        <n v="2.9002550297534713"/>
        <n v="3.1581184471521677"/>
        <n v="3.047605553981298"/>
        <n v="3.536412581467838"/>
        <n v="4.1626523094361"/>
        <n v="3.13828279965996"/>
        <n v="2.1790875602153585"/>
        <n v="4.147067157835081"/>
        <n v="7.154590535562483"/>
        <n v="4.475772173420233"/>
        <n v="3.4173986965145935"/>
        <n v="3.2303768773023522"/>
        <n v="3.4599036554264666"/>
        <n v="3.0773590252196086"/>
        <n v="6.81212808160952"/>
        <n v="3.2105412298101443"/>
        <n v="4.250495891187305"/>
        <n v="3.4344006800793423"/>
        <n v="3.023519410597903"/>
        <n v="6.202890337206007"/>
        <n v="2.631056956644942"/>
        <n v="3.948710682913007"/>
        <n v="2.452536129215075"/>
      </sharedItems>
    </cacheField>
    <cacheField name="INN-1" numFmtId="2">
      <sharedItems containsSemiMixedTypes="0" containsString="0" containsNumber="1">
        <n v="5.372347214545848"/>
        <n v="3.104762881545401"/>
        <n v="4.3685907286686945"/>
        <n v="6.593401157084015"/>
        <n v="3.089303141185387"/>
        <n v="3.9770462484763556"/>
        <n v="3.799383446819432"/>
        <n v="2.529736627370159"/>
        <n v="2.8936109481861187"/>
        <n v="2.4322319155070655"/>
        <n v="5.650097822120717"/>
        <n v="3.7244471387628635"/>
        <n v="1.8906139649689622"/>
        <n v="2.1151118756735388"/>
        <n v="3.5483164916273893"/>
        <n v="3.9730184675624587"/>
        <n v="2.644344499375167"/>
        <n v="0.18622276618487768"/>
        <n v="1.9714948843070814"/>
        <n v="2.456470615458013"/>
        <n v="1.2286057422829264"/>
        <n v="2.969463200168546"/>
        <n v="2.133776598188884"/>
        <n v="3.1043401869232663"/>
        <n v="0.018773909225770373"/>
        <n v="0.11624061934763759"/>
        <n v="0.0"/>
        <n v="4.413326804221313"/>
        <n v="0.9689035303040548"/>
        <n v="0.08744299434490109"/>
        <n v="3.485400894441943"/>
        <n v="4.997443635924721"/>
        <n v="5.801156722811841"/>
        <n v="4.235140916084913"/>
        <n v="4.070507139173792"/>
        <n v="2.1229646821431882"/>
        <n v="2.856902350032964"/>
        <n v="2.1905550597549914"/>
        <n v="3.075494315564483"/>
        <n v="4.487881284190042"/>
        <n v="6.524674840394063"/>
        <n v="4.723171710456263"/>
        <n v="3.519343871351546"/>
        <n v="2.7700427503610014"/>
        <n v="2.9742634320038333"/>
        <n v="3.78024752798685"/>
        <n v="5.072706628441895"/>
        <n v="0.07847831498913535"/>
        <n v="1.5586563569892884"/>
        <n v="3.4870067773485087"/>
        <n v="0.17105983403465957"/>
        <n v="0.2027106691675186"/>
        <n v="4.0108169752149765"/>
        <n v="2.6106360164310365"/>
        <n v="7.125002010592031"/>
        <n v="2.7866776076207627"/>
        <n v="1.893539734027974"/>
        <n v="0.19206421372094581"/>
        <n v="0.08596279685243252"/>
        <n v="2.7909780541475095"/>
        <n v="4.507492488625085"/>
        <n v="5.393895839367595"/>
        <n v="3.9208459760917576"/>
        <n v="3.828509033397779"/>
        <n v="2.25731657978787"/>
        <n v="2.628165184012632"/>
        <n v="1.7059311276298676"/>
        <n v="2.987585589188066"/>
        <n v="3.037695607775194"/>
        <n v="6.442604109369757"/>
        <n v="4.508158166755097"/>
        <n v="2.9179484717746185"/>
        <n v="2.7732017617101685"/>
        <n v="2.8380352934530646"/>
        <n v="3.4147991769430357"/>
        <n v="4.00935470851208"/>
        <n v="0.07529710956875006"/>
        <n v="1.7252845555260659"/>
        <n v="2.564378192448431"/>
        <n v="0.17232264056708096"/>
        <n v="0.1956492483724515"/>
        <n v="3.633127661037566"/>
        <n v="2.722327709403654"/>
        <n v="6.972197557158236"/>
        <n v="1.2032239403135168"/>
        <n v="1.3803669768422329"/>
        <n v="0.11594687386769013"/>
        <n v="0.13441373789566624"/>
        <n v="2.725573140581261"/>
        <n v="4.805201948961983"/>
        <n v="5.7893219143041055"/>
        <n v="4.477054006475346"/>
        <n v="4.092401610667585"/>
        <n v="2.477470726194405"/>
        <n v="3.0341215212973744"/>
        <n v="2.2252750112637156"/>
        <n v="3.4805037888485684"/>
        <n v="3.937863951848649"/>
        <n v="6.949599792765165"/>
        <n v="4.904490384551463"/>
        <n v="0.04974350704583627"/>
        <n v="0.026001116918369434"/>
        <n v="3.4946669645179496"/>
        <n v="3.6307546434866502"/>
        <n v="3.2148664519156873"/>
        <n v="4.6474008291585545"/>
        <n v="4.781935741376677"/>
        <n v="1.5841910176995497"/>
        <n v="2.266264462529723"/>
        <n v="0.36734729332344696"/>
        <n v="0.05567735748869682"/>
        <n v="3.640308370671322"/>
        <n v="3.7191263385517344"/>
        <n v="7.014015754119564"/>
        <n v="1.9630272294633977"/>
        <n v="1.7343237856120621"/>
        <n v="0.24218191387973945"/>
      </sharedItems>
    </cacheField>
    <cacheField name="INN-2-1" numFmtId="2">
      <sharedItems containsSemiMixedTypes="0" containsString="0" containsNumber="1">
        <n v="4.737992782867137"/>
        <n v="3.259432421600328"/>
        <n v="4.558207219579002"/>
        <n v="0.9294133867250365"/>
        <n v="3.151673841875489"/>
        <n v="2.2641632813202444"/>
        <n v="2.678557904257959"/>
        <n v="2.6923113173092554"/>
        <n v="0.9083713560431141"/>
        <n v="0.0"/>
        <n v="2.892097643493572"/>
        <n v="3.0252579751423148"/>
        <n v="0.9055672921893458"/>
        <n v="0.3296217976612214"/>
        <n v="0.3212559917879926"/>
        <n v="1.7717154781936828"/>
        <n v="0.5773362459729044"/>
        <n v="0.34507943565525623"/>
        <n v="0.9526120077259428"/>
        <n v="0.3266591729101237"/>
        <n v="2.9004434908508"/>
        <n v="6.944807270245943"/>
        <n v="2.642797062300394"/>
        <n v="5.80825300330714"/>
        <n v="4.265138205646418"/>
        <n v="3.820927500637075"/>
        <n v="0.47933889931392293"/>
        <n v="1.3111649492948265"/>
        <n v="0.9391231234489212"/>
        <n v="0.8974387798209895"/>
        <n v="6.328704434029072"/>
        <n v="6.222059850042468"/>
        <n v="0.3214710820566807"/>
        <n v="4.441735638448842"/>
        <n v="5.337511396259787"/>
        <n v="4.980524954195353"/>
        <n v="2.8455307330393484"/>
        <n v="0.6153354643556279"/>
        <n v="0.5594865283466135"/>
        <n v="4.546956314897095"/>
        <n v="1.1905068894676674"/>
        <n v="9.009074817984478"/>
        <n v="2.8369879610256055"/>
        <n v="6.014727591065831"/>
        <n v="6.952682305710835"/>
        <n v="3.5819437703742723"/>
        <n v="0.4727768265808466"/>
        <n v="1.5925649222392413"/>
        <n v="2.690549698052685"/>
        <n v="8.134446416226096"/>
        <n v="5.859656012790252"/>
        <n v="0.6320398573004598"/>
        <n v="5.668562197841135"/>
        <n v="0.7977079836379543"/>
        <n v="5.285985185536433"/>
        <n v="4.886048591408477"/>
        <n v="0.7781588409391742"/>
        <n v="0.6050417031000594"/>
        <n v="0.5435351691514626"/>
        <n v="5.369328569603469"/>
        <n v="1.15913128303032"/>
        <n v="10.0"/>
        <n v="2.7068975208672668"/>
        <n v="5.801140940409132"/>
        <n v="9.691271119656491"/>
        <n v="2.9651357031506103"/>
        <n v="1.087630128450908"/>
        <n v="1.7132479760958024"/>
        <n v="2.3852989804353815"/>
        <n v="8.061597106364705"/>
        <n v="5.591319724050564"/>
        <n v="0.6243271630057368"/>
        <n v="4.315735650922565"/>
        <n v="1.185776903748539"/>
        <n v="3.720398202337835"/>
        <n v="4.825679265432473"/>
        <n v="0.7547424054509889"/>
        <n v="0.2968664079729724"/>
        <n v="6.1772141340590725"/>
        <n v="0.297749950432011"/>
        <n v="1.141749492217499"/>
      </sharedItems>
    </cacheField>
    <cacheField name="INN-2-2" numFmtId="2">
      <sharedItems containsSemiMixedTypes="0" containsString="0" containsNumber="1">
        <n v="6.373097033595664"/>
        <n v="4.706651739265403"/>
        <n v="3.3209661280184473"/>
        <n v="4.026245585706763"/>
        <n v="3.900897698232831"/>
        <n v="2.3078636727313606"/>
        <n v="3.570335403820153"/>
        <n v="0.0"/>
        <n v="1.311696967387976"/>
        <n v="4.872252921278931"/>
        <n v="1.307647872236658"/>
        <n v="0.3569827825653133"/>
        <n v="0.6958451090187047"/>
        <n v="1.3431464425746507"/>
        <n v="1.8686175796069606"/>
        <n v="0.707548477214428"/>
        <n v="4.628477739878416"/>
        <n v="1.2925921201394577"/>
        <n v="5.764275366896055"/>
        <n v="2.2396002022012698"/>
        <n v="3.39914701801798"/>
        <n v="0.3460849884787212"/>
        <n v="1.4200010901052154"/>
        <n v="0.6479551111317104"/>
        <n v="5.483226012170794"/>
        <n v="3.675564906617252"/>
        <n v="5.298849702152037"/>
        <n v="3.54907417902972"/>
        <n v="0.6664127428324919"/>
        <n v="1.9697545842076432"/>
        <n v="1.289327541688066"/>
        <n v="6.887218559571437"/>
        <n v="1.8073402405549452"/>
        <n v="5.480739216717598"/>
        <n v="3.2857331116228377"/>
        <n v="2.4885888918329697"/>
        <n v="0.682694280870712"/>
        <n v="0.34495185779017434"/>
        <n v="1.2950598732055845"/>
        <n v="8.809664096539386"/>
        <n v="2.9355876137442785"/>
        <n v="0.9444759562382649"/>
        <n v="0.8639234956370243"/>
        <n v="3.8165067025719894"/>
        <n v="1.0583251679872319"/>
        <n v="3.3710065327872716"/>
        <n v="2.621058100808065"/>
        <n v="3.876681026324771"/>
        <n v="1.8830213006723704"/>
        <n v="5.959568939509916"/>
        <n v="2.3097372012355857"/>
        <n v="5.550068418101306"/>
        <n v="3.76769309212806"/>
        <n v="1.605631668634926"/>
        <n v="0.6730921531648832"/>
        <n v="0.3373563465603642"/>
        <n v="1.9374719906142088"/>
        <n v="5.372780165482674"/>
        <n v="3.1556516015443963"/>
        <n v="1.8695891259789836"/>
        <n v="0.8561366220424058"/>
        <n v="2.8441539298782064"/>
        <n v="3.1357472548809318"/>
        <n v="4.9043487887566215"/>
        <n v="2.572067675628209"/>
        <n v="1.9114192652865822"/>
        <n v="1.2365229290547217"/>
        <n v="1.879624852741921"/>
      </sharedItems>
    </cacheField>
    <cacheField name="INN-2-3" numFmtId="2">
      <sharedItems containsSemiMixedTypes="0" containsString="0" containsNumber="1">
        <n v="5.484396361529868"/>
        <n v="2.4159860879536854"/>
        <n v="7.555947549922481"/>
        <n v="0.826689873023891"/>
        <n v="2.60309655759906"/>
        <n v="2.1323820633368635"/>
        <n v="1.8937900049192438"/>
        <n v="0.0"/>
        <n v="2.154596040073278"/>
        <n v="1.4291379127603805"/>
        <n v="0.44848183579312745"/>
        <n v="0.26849312354341226"/>
        <n v="1.1727612532659957"/>
        <n v="0.28574913902972465"/>
        <n v="0.4727689307973283"/>
        <n v="0.29106500884665887"/>
        <n v="0.6138789884449919"/>
        <n v="2.851030018132134"/>
        <n v="0.530803595023225"/>
        <n v="4.414834097599404"/>
        <n v="1.8393858669274845"/>
        <n v="2.063447299227314"/>
        <n v="1.2790797490195995"/>
        <n v="0.2915620758555397"/>
        <n v="5.32166175305599"/>
        <n v="1.407305925355974"/>
        <n v="7.906237173510524"/>
        <n v="3.75850271740261"/>
        <n v="1.4574290713065983"/>
        <n v="0.547325446524632"/>
        <n v="0.8088806966408634"/>
        <n v="0.27768707322683417"/>
        <n v="0.26473149713176536"/>
        <n v="0.8216328795030604"/>
        <n v="3.2996130023286647"/>
        <n v="0.8164036824814638"/>
        <n v="4.150822641609302"/>
        <n v="2.02393189711084"/>
        <n v="3.065820786940787"/>
        <n v="2.102615586977696"/>
        <n v="0.4249639543026379"/>
        <n v="8.386001769753209"/>
        <n v="3.617692929217009"/>
        <n v="8.296679974364029"/>
        <n v="0.7756990394312178"/>
        <n v="0.3547706118305043"/>
        <n v="3.134500739393153"/>
        <n v="1.3038052649057756"/>
        <n v="1.3843055040883347"/>
        <n v="0.5381694043297912"/>
        <n v="2.3879414783715798"/>
        <n v="0.27106306312072925"/>
        <n v="0.7732636307533469"/>
        <n v="1.5836013589769282"/>
        <n v="2.340723403520287"/>
        <n v="1.2403392582436932"/>
        <n v="3.7560199970202506"/>
        <n v="2.2102929090931482"/>
        <n v="2.877178650863698"/>
        <n v="2.7640562642707156"/>
        <n v="1.1082844078537166"/>
        <n v="5.716627516435451"/>
        <n v="3.0337104034411015"/>
        <n v="5.28855011119861"/>
        <n v="0.7677477015556196"/>
        <n v="0.351572928328017"/>
        <n v="4.8664717561738975"/>
        <n v="1.7169282199610179"/>
        <n v="1.342648841171929"/>
        <n v="0.7921656497019256"/>
        <n v="1.569850538004681"/>
        <n v="1.0155575078085437"/>
        <n v="2.3156066331800838"/>
      </sharedItems>
    </cacheField>
    <cacheField name="INN-2-4" numFmtId="2">
      <sharedItems containsSemiMixedTypes="0" containsString="0" containsNumber="1">
        <n v="7.919238412378843"/>
        <n v="1.7910709003728416"/>
        <n v="7.476102299777515"/>
        <n v="1.7391960537894324"/>
        <n v="3.1527823962753803"/>
        <n v="2.555585456811552"/>
        <n v="4.757338420196754"/>
        <n v="1.3194966421751584"/>
        <n v="1.776267397572202"/>
        <n v="0.6909992708135244"/>
        <n v="3.5220529166580894"/>
        <n v="1.2804904600125677"/>
        <n v="0.8248716337057326"/>
        <n v="1.4588184938574704"/>
        <n v="0.6727278726419595"/>
        <n v="2.5812618300154395"/>
        <n v="0.4762680553032842"/>
        <n v="0.49491291408528915"/>
        <n v="0.5316056476952563"/>
        <n v="1.3529821865797462"/>
        <n v="0.6265849724982198"/>
        <n v="0.2406862817669235"/>
        <n v="0.3819872685963844"/>
        <n v="0.616123326828672"/>
        <n v="0.22262824255419256"/>
        <n v="3.575292465177532"/>
        <n v="0.33784244368595645"/>
        <n v="0.04509523369071421"/>
        <n v="0.0"/>
        <n v="0.9894087601259022"/>
        <n v="0.07978910443467577"/>
        <n v="0.23330985476327232"/>
        <n v="2.1738845755104017"/>
        <n v="2.7778437748666382"/>
        <n v="8.510041898365676"/>
        <n v="2.8312633135542487"/>
        <n v="4.960238274790022"/>
        <n v="1.6231049192570866"/>
        <n v="1.423941943480051"/>
        <n v="0.3765783696746793"/>
        <n v="2.0747679506575585"/>
        <n v="0.2186855906138161"/>
        <n v="0.9250662451475195"/>
        <n v="3.5011455310399002"/>
        <n v="8.120984999492148"/>
        <n v="0.4539252969908827"/>
        <n v="0.6922755398718379"/>
        <n v="1.5370135654672679"/>
        <n v="0.9096308959084722"/>
        <n v="3.4019965668732377"/>
        <n v="1.242663307108"/>
        <n v="0.6593359962589207"/>
        <n v="0.23117795205099623"/>
        <n v="4.437329226984323"/>
        <n v="0.0438353259966332"/>
        <n v="0.836184499681793"/>
        <n v="0.48193303856037867"/>
        <n v="2.21494883297993"/>
        <n v="0.5007428966711267"/>
        <n v="0.839836209599542"/>
        <n v="0.7545288992893779"/>
        <n v="0.28032948244781863"/>
        <n v="2.235211818178731"/>
        <n v="2.7287576304383308"/>
        <n v="8.073663191657287"/>
        <n v="2.804848225943102"/>
        <n v="4.833908720950753"/>
        <n v="1.7530157453930837"/>
        <n v="1.4191146022719798"/>
        <n v="0.3710826676156967"/>
        <n v="2.3397970923192806"/>
        <n v="0.34998306697452997"/>
        <n v="1.2153939931649038"/>
        <n v="3.0899067474036848"/>
        <n v="7.979015556216481"/>
        <n v="0.3959148174568332"/>
        <n v="0.6007496314490104"/>
        <n v="1.3599343118561456"/>
        <n v="0.9418465254136348"/>
        <n v="3.3920522162054563"/>
        <n v="0.9868832155647322"/>
        <n v="0.6353142185812177"/>
        <n v="0.39293095678403994"/>
        <n v="4.895809245654361"/>
        <n v="1.1636547616804598"/>
        <n v="0.43590362700943863"/>
        <n v="2.39227062932124"/>
        <n v="0.3575467309898386"/>
        <n v="0.9295985966130211"/>
        <n v="0.9122215749503468"/>
        <n v="0.32376699998824565"/>
        <n v="2.6967119945664573"/>
        <n v="3.060177250282435"/>
        <n v="8.10165170877089"/>
        <n v="3.2642472457171268"/>
        <n v="4.96512512404694"/>
        <n v="1.728359495107635"/>
        <n v="1.4873308562120586"/>
        <n v="0.31269884833845163"/>
        <n v="2.847297725454715"/>
        <n v="0.4078145202548566"/>
        <n v="0.820868644214592"/>
        <n v="3.37997022370446"/>
        <n v="8.34836818792548"/>
        <n v="0.3468726601458937"/>
        <n v="0.6119631039014689"/>
        <n v="1.6344215820679866"/>
        <n v="1.3383991495859715"/>
        <n v="3.753976602125318"/>
        <n v="1.1825281025294268"/>
        <n v="0.5032125010300171"/>
        <n v="0.4707790354420066"/>
        <n v="4.108870672560416"/>
        <n v="1.4020298184116975"/>
        <n v="0.5051586773998064"/>
        <n v="2.909488625135591"/>
        <n v="0.37144973822831"/>
        <n v="1.0428335999143297"/>
        <n v="0.902146251501626"/>
      </sharedItems>
    </cacheField>
    <cacheField name="INN-2" numFmtId="2">
      <sharedItems containsSemiMixedTypes="0" containsString="0" containsNumber="1">
        <n v="6.128681147592879"/>
        <n v="3.043285287298065"/>
        <n v="5.727805799324361"/>
        <n v="1.8803862248112808"/>
        <n v="3.2021126234956903"/>
        <n v="2.314998618550005"/>
        <n v="3.225005433298527"/>
        <n v="1.0029519898711035"/>
        <n v="1.5377329402691426"/>
        <n v="0.1727498177033811"/>
        <n v="3.178885348547743"/>
        <n v="1.1885575677370026"/>
        <n v="0.8266449804187872"/>
        <n v="0.8295460818375002"/>
        <n v="0.49389452811959544"/>
        <n v="1.5422231703952756"/>
        <n v="0.19183326603748577"/>
        <n v="0.12372822852132229"/>
        <n v="0.2772354734170402"/>
        <n v="1.0451395475717387"/>
        <n v="0.15664624312455494"/>
        <n v="0.060171570441730875"/>
        <n v="0.3336498190805818"/>
        <n v="0.41258274423830593"/>
        <n v="0.05565706063854814"/>
        <n v="1.618933989007083"/>
        <n v="0.08446061092148911"/>
        <n v="0.011273808422678553"/>
        <n v="0.0"/>
        <n v="0.24735219003147554"/>
        <n v="0.019947276108668942"/>
        <n v="0.05832746369081808"/>
        <n v="4.149549900941723"/>
        <n v="1.8110091380824287"/>
        <n v="6.124351091542069"/>
        <n v="2.7938468970823553"/>
        <n v="3.560940023168098"/>
        <n v="0.9319021390173327"/>
        <n v="1.1116675146839081"/>
        <n v="0.3289253732809001"/>
        <n v="2.2354558986665616"/>
        <n v="0.054671397653454024"/>
        <n v="0.23126656128687986"/>
        <n v="4.180095475648936"/>
        <n v="6.481211732415597"/>
        <n v="0.11348132424772067"/>
        <n v="0.2534366554821296"/>
        <n v="1.4946873009790274"/>
        <n v="0.22740772397711806"/>
        <n v="4.449215095671917"/>
        <n v="1.5557970653258382"/>
        <n v="0.16483399906473017"/>
        <n v="1.3094203005968286"/>
        <n v="1.820714990005918"/>
        <n v="0.0109588314991583"/>
        <n v="0.6663145383486362"/>
        <n v="0.2603548917267481"/>
        <n v="2.385135107181383"/>
        <n v="0.19460749247449022"/>
        <n v="0.8961005344717603"/>
        <n v="0.3940404446981096"/>
        <n v="0.07008237061195466"/>
        <n v="5.357779549515827"/>
        <n v="2.047372378625086"/>
        <n v="5.929988160262505"/>
        <n v="3.766798885096904"/>
        <n v="3.4925655425246953"/>
        <n v="1.2527756099555845"/>
        <n v="0.9453988341510083"/>
        <n v="0.09277066690392417"/>
        <n v="3.67785210833269"/>
        <n v="0.08749576674363249"/>
        <n v="0.30384849829122595"/>
        <n v="5.912927547346545"/>
        <n v="6.2677347892787605"/>
        <n v="0.0989787043642083"/>
        <n v="0.30819737218736754"/>
        <n v="2.187167876341691"/>
        <n v="0.7395621541297794"/>
        <n v="3.907261210926758"/>
        <n v="2.058765559966554"/>
        <n v="0.15882855464530443"/>
        <n v="1.4816004586497054"/>
        <n v="1.2239523114135902"/>
        <n v="1.231980992479594"/>
        <n v="0.24485969904022534"/>
        <n v="3.506555425905265"/>
        <n v="0.15715244852764196"/>
        <n v="1.1862537027672646"/>
        <n v="0.6239557334818188"/>
        <n v="0.08094174999706141"/>
        <n v="5.249251084399164"/>
        <n v="2.3292878076572454"/>
        <n v="5.802220266075395"/>
        <n v="4.733376091648706"/>
        <n v="3.103267786674044"/>
        <n v="1.5632845102485353"/>
        <n v="1.1615548966804854"/>
        <n v="0.07817471208461291"/>
        <n v="3.2216740532349384"/>
        <n v="0.10195363006371415"/>
        <n v="0.205217161053648"/>
        <n v="4.962014474748235"/>
        <n v="5.595972406179763"/>
        <n v="0.08671816503647342"/>
        <n v="0.3090725667268014"/>
        <n v="2.1468735151312885"/>
        <n v="0.9329714009262333"/>
        <n v="3.7962501226288143"/>
        <n v="2.7152207107009625"/>
        <n v="0.12580312525750428"/>
        <n v="1.8681297677053865"/>
        <n v="1.027217668140104"/>
        <n v="1.2657823879287011"/>
        <n v="0.1262896693499516"/>
        <n v="3.141993140621482"/>
        <n v="0.16729992216508027"/>
        <n v="1.1091658822487735"/>
        <n v="1.2743444343559076"/>
      </sharedItems>
    </cacheField>
    <cacheField name="INN" numFmtId="2">
      <sharedItems containsSemiMixedTypes="0" containsString="0" containsNumber="1">
        <n v="5.750514181069364"/>
        <n v="3.0740240844217324"/>
        <n v="5.048198263996529"/>
        <n v="4.236893690947649"/>
        <n v="3.1457078823405387"/>
        <n v="3.1460224335131803"/>
        <n v="3.51219444005898"/>
        <n v="1.7663443086206314"/>
        <n v="2.2156719442276307"/>
        <n v="1.3024908666052233"/>
        <n v="4.41449158533423"/>
        <n v="2.456502353249933"/>
        <n v="1.3586294726938748"/>
        <n v="1.4723289787555194"/>
        <n v="2.0211055098734922"/>
        <n v="2.757620818978867"/>
        <n v="1.4180888827063263"/>
        <n v="0.15497549735309998"/>
        <n v="1.1243651788620608"/>
        <n v="1.7508050815148757"/>
        <n v="0.6926259927037406"/>
        <n v="1.5148173853051385"/>
        <n v="1.2337132086347329"/>
        <n v="1.7584614655807862"/>
        <n v="0.03721548493215925"/>
        <n v="0.8675873041773603"/>
        <n v="0.042230305460744556"/>
        <n v="0.005636904211339277"/>
        <n v="0.0"/>
        <n v="2.330339497126394"/>
        <n v="0.4944254032063619"/>
        <n v="0.07288522901785958"/>
        <n v="3.817475397691833"/>
        <n v="3.404226387003575"/>
        <n v="5.962753907176954"/>
        <n v="3.5144939065836347"/>
        <n v="3.815723581170945"/>
        <n v="1.5274334105802607"/>
        <n v="1.9842849323584364"/>
        <n v="1.2597402165179459"/>
        <n v="2.6554751071155227"/>
        <n v="0.027335698826727012"/>
        <n v="2.359573922738461"/>
        <n v="5.352385158021499"/>
        <n v="5.602191721435929"/>
        <n v="0.056740662123860336"/>
        <n v="1.8863902634168377"/>
        <n v="2.1323650256700146"/>
        <n v="1.6008355779904757"/>
        <n v="4.114731311829384"/>
        <n v="3.3142518468838666"/>
        <n v="0.039239157494567675"/>
        <n v="0.8617451780270092"/>
        <n v="2.3982135389726684"/>
        <n v="0.9958874120202887"/>
        <n v="0.10683475033333845"/>
        <n v="2.338565756781806"/>
        <n v="1.4354954540788922"/>
        <n v="4.755068558886707"/>
        <n v="1.4906425500476264"/>
        <n v="1.3948201342498674"/>
        <n v="0.29305232920952773"/>
        <n v="0.07802258373219359"/>
        <n v="4.074378801831669"/>
        <n v="3.277432433625086"/>
        <n v="5.66194199981505"/>
        <n v="3.8438224305943303"/>
        <n v="3.6605372879612377"/>
        <n v="1.7550460948717272"/>
        <n v="1.78678200908182"/>
        <n v="0.899350897266896"/>
        <n v="3.3327188487603774"/>
        <n v="0.043747883371816246"/>
        <n v="1.6707720530332097"/>
        <n v="6.177765828358151"/>
        <n v="5.387946478016929"/>
        <n v="0.04948935218210415"/>
        <n v="1.6130729219809932"/>
        <n v="2.4801848190259297"/>
        <n v="1.7887987237914222"/>
        <n v="3.661030193934897"/>
        <n v="3.0340601342393168"/>
        <n v="0.03764855478437503"/>
        <n v="0.9420565550856852"/>
        <n v="2.0229893255490685"/>
        <n v="0.6981374759903356"/>
        <n v="0.09782462418622576"/>
        <n v="2.43255432675858"/>
        <n v="1.4835937042219396"/>
        <n v="5.2393764915317504"/>
        <n v="0.6801881944205792"/>
        <n v="1.2833103398047485"/>
        <n v="0.3699513036747545"/>
        <n v="0.10767774394636384"/>
        <n v="3.9874121124902127"/>
        <n v="3.5672448783096145"/>
        <n v="5.795771090189749"/>
        <n v="4.605215049062026"/>
        <n v="3.5978346986708143"/>
        <n v="2.02037761822147"/>
        <n v="2.09783820898893"/>
        <n v="1.1517248616741642"/>
        <n v="3.351088921041754"/>
        <n v="0.050976815031857074"/>
        <n v="2.0715405564511484"/>
        <n v="5.9558071337567"/>
        <n v="5.2502313953656135"/>
        <n v="0.024871753522918136"/>
        <n v="0.056359640977421424"/>
        <n v="1.9018697656223753"/>
        <n v="2.8888140793089696"/>
        <n v="2.0739189264209603"/>
        <n v="4.221825475893684"/>
        <n v="3.74857822603882"/>
        <n v="0.854997071478527"/>
        <n v="2.0671971151175548"/>
        <n v="0.6972824807317755"/>
        <n v="0.02783867874434841"/>
        <n v="2.4530453793000118"/>
        <n v="1.9227080039508428"/>
        <n v="5.078004447370523"/>
        <n v="1.065163575814239"/>
        <n v="1.421744833930418"/>
        <n v="0.7582631741178236"/>
      </sharedItems>
    </cacheField>
    <cacheField name="Puntaje general" numFmtId="2">
      <sharedItems containsSemiMixedTypes="0" containsString="0" containsNumber="1">
        <n v="7.096983850199163"/>
        <n v="5.194490030233315"/>
        <n v="6.336382772625715"/>
        <n v="6.199191018298307"/>
        <n v="5.772318339343931"/>
        <n v="5.872891260469042"/>
        <n v="6.017328173279534"/>
        <n v="5.070143617096836"/>
        <n v="5.2374750816550915"/>
        <n v="5.0753119695548365"/>
        <n v="5.793851293942616"/>
        <n v="5.486460760035094"/>
        <n v="4.543916690324485"/>
        <n v="5.310087567768863"/>
        <n v="4.816537675432554"/>
        <n v="5.745094290518561"/>
        <n v="4.500518380879848"/>
        <n v="4.4103799125240775"/>
        <n v="4.378391869075181"/>
        <n v="4.653853713048742"/>
        <n v="3.828976008552219"/>
        <n v="3.9141118121900464"/>
        <n v="4.517527743227539"/>
        <n v="4.602175256294856"/>
        <n v="3.6061964449875896"/>
        <n v="4.937205428079564"/>
        <n v="3.92160285108182"/>
        <n v="3.4128129090861465"/>
        <n v="2.9113384262259236"/>
        <n v="2.568007903590149"/>
        <n v="3.424465353891092"/>
        <n v="2.5254100807350492"/>
        <n v="3.4328613132861054"/>
        <n v="5.319128374736435"/>
        <n v="5.736749666646289"/>
        <n v="7.007646836666625"/>
        <n v="5.884968486399707"/>
        <n v="6.031521797763181"/>
        <n v="5.214004695435889"/>
        <n v="4.594702689111125"/>
        <n v="4.3465092954885955"/>
        <n v="5.209068652132562"/>
        <n v="2.3179287076566926"/>
        <n v="3.3564547642429963"/>
        <n v="5.763184192997124"/>
        <n v="6.3553584027506655"/>
        <n v="2.953398608006829"/>
        <n v="3.9401872349256726"/>
        <n v="4.593677738192766"/>
        <n v="5.18594105009246"/>
        <n v="5.0461434814877055"/>
        <n v="5.874355333804189"/>
        <n v="5.575975119456804"/>
        <n v="2.841369188265379"/>
        <n v="3.687351788728895"/>
        <n v="3.9331101389886287"/>
        <n v="4.842438497286242"/>
        <n v="3.305792839353466"/>
        <n v="4.8370126674185325"/>
        <n v="4.36640114375142"/>
        <n v="6.270664077715096"/>
        <n v="4.474741519603281"/>
        <n v="4.518714864951697"/>
        <n v="4.394025396269952"/>
        <n v="3.427428808717075"/>
        <n v="5.2867736260276645"/>
        <n v="5.669462943417085"/>
        <n v="6.885687825139425"/>
        <n v="5.802659282268337"/>
        <n v="5.958774716405727"/>
        <n v="5.1910869284731165"/>
        <n v="4.510113176703897"/>
        <n v="4.424488390374556"/>
        <n v="5.304678637853797"/>
        <n v="2.764338912067679"/>
        <n v="3.2167146980303754"/>
        <n v="5.7245014870767434"/>
        <n v="6.298497951283029"/>
        <n v="2.3112211424939515"/>
        <n v="3.759512186814324"/>
        <n v="4.4829149547422835"/>
        <n v="5.13036664824098"/>
        <n v="5.053233102347089"/>
        <n v="5.75723827364743"/>
        <n v="5.399138635971854"/>
        <n v="2.882471634320437"/>
        <n v="3.671023931618062"/>
        <n v="3.7068149339133525"/>
        <n v="4.726915026815412"/>
        <n v="3.3590438491892716"/>
        <n v="4.777827656642034"/>
        <n v="4.280313984588921"/>
        <n v="6.030452009901673"/>
        <n v="4.331555263999397"/>
        <n v="4.37694671648107"/>
        <n v="4.312254657871541"/>
        <n v="3.7353159826477507"/>
        <n v="5.488893384690401"/>
        <n v="5.859361089736317"/>
        <n v="7.191374955132107"/>
        <n v="6.011654641467176"/>
        <n v="6.250430599081493"/>
        <n v="5.297643302126199"/>
        <n v="4.57475850096827"/>
        <n v="4.2221488846575035"/>
        <n v="5.392749426809717"/>
        <n v="2.564483388743788"/>
        <n v="3.2398152052101987"/>
        <n v="5.893837758390936"/>
        <n v="6.4885316325833555"/>
        <n v="2.307713674795407"/>
        <n v="3.7360352962931676"/>
        <n v="4.774995175411662"/>
        <n v="5.269390287189196"/>
        <n v="5.349908456084233"/>
        <n v="5.993032603877152"/>
        <n v="5.683944627181694"/>
        <n v="2.9416428626212907"/>
        <n v="3.639154952786005"/>
        <n v="3.91270247280413"/>
        <n v="4.2964999487570115"/>
        <n v="3.150992455807306"/>
        <n v="4.98530877379756"/>
        <n v="4.358645701622362"/>
        <n v="6.346575507913528"/>
        <n v="4.217582446879167"/>
        <n v="4.796484747350575"/>
        <n v="4.30384884910467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161" sheet="Valor_normalizado"/>
  </cacheSource>
  <cacheFields>
    <cacheField name="Ciudad o AM" numFmtId="0">
      <sharedItems>
        <s v="Bogotá D.C."/>
        <s v="Armenia"/>
        <s v="Medellín AM"/>
        <s v="Tunja"/>
        <s v="Pereira AM"/>
        <s v="Bucaramanga AM"/>
        <s v="Cali AM"/>
        <s v="Neiva"/>
        <s v="Ibagué"/>
        <s v="Pasto"/>
        <s v="Manizales AM"/>
        <s v="Popayán"/>
        <s v="Villavicencio"/>
        <s v="Cartagena"/>
        <s v="Santa Marta"/>
        <s v="Barranquilla AM"/>
        <s v="Valledupar"/>
        <s v="Yopal"/>
        <s v="Sincelejo"/>
        <s v="Cúcuta AM"/>
        <s v="Quibdó"/>
        <s v="Riohacha"/>
        <s v="Florencia"/>
        <s v="Montería"/>
        <s v="Arauca"/>
        <s v="San Andrés"/>
        <s v="Mocoa"/>
        <s v="San José del Guaviare"/>
        <s v="Puerto Carreño"/>
        <s v="Inírida"/>
        <s v="Leticia"/>
        <s v="Mitú"/>
      </sharedItems>
    </cacheField>
    <cacheField name="Año" numFmtId="0">
      <sharedItems containsSemiMixedTypes="0" containsString="0" containsNumber="1" containsInteger="1">
        <n v="2019.0"/>
        <n v="2020.0"/>
        <n v="2021.0"/>
        <n v="2022.0"/>
        <n v="2023.0"/>
      </sharedItems>
    </cacheField>
    <cacheField name="TIC-1-1" numFmtId="2">
      <sharedItems containsSemiMixedTypes="0" containsString="0" containsNumber="1">
        <n v="8.544282321004411"/>
        <n v="8.303359348489991"/>
        <n v="8.137669568991132"/>
        <n v="8.07940278249067"/>
        <n v="7.302330398823233"/>
        <n v="7.177912833889215"/>
        <n v="7.113857886027973"/>
        <n v="7.098744485917884"/>
        <n v="6.996946046827283"/>
        <n v="6.620291822192059"/>
        <n v="6.354440248363945"/>
        <n v="6.094333220223957"/>
        <n v="5.812690872073296"/>
        <n v="5.208686800135731"/>
        <n v="5.039022734984729"/>
        <n v="4.651568680391791"/>
        <n v="4.642008822531388"/>
        <n v="4.540210383440787"/>
        <n v="4.4689514760773665"/>
        <n v="4.390241166730281"/>
        <n v="4.061757719714964"/>
        <n v="3.888700373260943"/>
        <n v="3.8106549032914834"/>
        <n v="3.6952833389888022"/>
        <n v="2.6671191041737363"/>
        <n v="2.4228028503562946"/>
        <n v="2.3617237869019343"/>
        <n v="1.336952833389888"/>
        <n v="1.2826603325415677"/>
        <n v="0.8788598574821853"/>
        <n v="0.5598914149983034"/>
        <n v="0.016966406515100098"/>
        <n v="2.684085510688836"/>
        <n v="8.486596538853071"/>
        <n v="5.697486152310419"/>
        <n v="8.520529351883273"/>
        <n v="7.229360051853221"/>
        <n v="7.364765002168044"/>
        <n v="5.252799457074992"/>
        <n v="4.517531458585367"/>
        <n v="4.238208347472005"/>
        <n v="7.227689175432643"/>
        <n v="1.2690872073294877"/>
        <n v="0.7872412623006448"/>
        <n v="6.437770720194455"/>
        <n v="8.328507003894094"/>
        <n v="0.030539531727180182"/>
        <n v="1.9409569053274522"/>
        <n v="3.8785205293518827"/>
        <n v="7.241262300644724"/>
        <n v="6.7288768238887"/>
        <n v="7.642505089210211"/>
        <n v="6.053613844587717"/>
        <n v="1.7645062775704106"/>
        <n v="4.384119443501866"/>
        <n v="3.678316932473702"/>
        <n v="2.3990498812351544"/>
        <n v="1.3607058025110281"/>
        <n v="5.364777740074651"/>
        <n v="4.251781472684085"/>
        <n v="8.401764506277571"/>
        <n v="4.706481167288769"/>
        <n v="6.185951815405498"/>
        <n v="5.697319307770615"/>
        <n v="3.3661350525958604"/>
        <n v="9.538513742789277"/>
        <n v="6.003541817313653"/>
        <n v="9.049881235154395"/>
        <n v="7.772498029981954"/>
        <n v="7.942823782009603"/>
        <n v="5.395317271801833"/>
        <n v="4.909301400577482"/>
        <n v="4.625042416016288"/>
        <n v="7.563624024431626"/>
        <n v="1.3810654903291484"/>
        <n v="0.8313539192399051"/>
        <n v="7.158057208199292"/>
        <n v="8.77004216179063"/>
        <n v="0.01017984390906006"/>
        <n v="1.9070240922972514"/>
        <n v="4.187309127926706"/>
        <n v="7.9979640312181886"/>
        <n v="6.990159484221245"/>
        <n v="8.804319302225263"/>
        <n v="6.55581947743468"/>
        <n v="2.185273159144893"/>
        <n v="4.587716321683067"/>
        <n v="4.027824906684764"/>
        <n v="1.7780794027824909"/>
        <n v="1.296233457753648"/>
        <n v="5.643026806922294"/>
        <n v="4.832032575500509"/>
        <n v="8.710553104852393"/>
        <n v="5.164574143196471"/>
        <n v="6.674584323040381"/>
        <n v="6.70173057346454"/>
        <n v="3.7902952154733627"/>
        <n v="9.88462843569732"/>
        <n v="6.348338474802608"/>
        <n v="9.358669833729218"/>
        <n v="8.380245283890911"/>
        <n v="8.131031920831322"/>
        <n v="5.870376654224636"/>
        <n v="5.452204249989652"/>
        <n v="5.066168985408891"/>
        <n v="8.951476077366815"/>
        <n v="0.9026128266033255"/>
        <n v="0.7295554801493045"/>
        <n v="7.192540190011728"/>
        <n v="9.191070953134018"/>
        <n v="0.0"/>
        <n v="1.6559212758737698"/>
        <n v="4.496097726501527"/>
        <n v="8.534102477095352"/>
        <n v="7.156430268069222"/>
        <n v="9.185999011115765"/>
        <n v="6.71869697997964"/>
        <n v="1.940956905327452"/>
        <n v="4.428232100441126"/>
        <n v="4.631828978622329"/>
        <n v="2.375296912114014"/>
        <n v="0.9569053274516458"/>
        <n v="6.4031218187987795"/>
        <n v="4.865965388530709"/>
        <n v="9.284017645062775"/>
        <n v="5.273159144893111"/>
        <n v="6.78316932473702"/>
        <n v="6.925687139463862"/>
        <n v="7.421106209704785"/>
        <n v="9.694604682728198"/>
        <n v="9.728537495758399"/>
        <n v="9.491007804546998"/>
        <n v="10.0"/>
        <n v="8.608754665761792"/>
        <n v="7.081778079402783"/>
        <n v="8.473023413640991"/>
        <n v="8.506956226671193"/>
        <n v="6.979979640312183"/>
        <n v="9.389209365456399"/>
        <n v="6.53885307091958"/>
        <n v="6.267390566677978"/>
        <n v="7.319307770614184"/>
        <n v="0.5327451645741433"/>
        <n v="4.570749915167967"/>
        <n v="5.079742110620971"/>
        <n v="7.115710892432983"/>
        <n v="4.944010858500169"/>
        <n v="6.60671869697998"/>
        <n v="0.7024092297251441"/>
        <n v="3.9599592806243633"/>
        <n v="5.656599932134375"/>
        <n v="3.8581608415337634"/>
        <n v="5.11367492365117"/>
        <n v="1.5507295554801495"/>
        <n v="3.484899898201561"/>
        <n v="0.023752969121140145"/>
        <n v="1.5167967424499489"/>
      </sharedItems>
    </cacheField>
    <cacheField name="TIC-1-2" numFmtId="2">
      <sharedItems containsSemiMixedTypes="0" containsString="0" containsNumber="1">
        <n v="0.6498412161648912"/>
        <n v="0.45331118353027533"/>
        <n v="0.5882317281913777"/>
        <n v="0.40860287121914723"/>
        <n v="0.4892008825554832"/>
        <n v="0.4916978438444477"/>
        <n v="0.530309727888127"/>
        <n v="0.3486206604650056"/>
        <n v="0.4407408459081608"/>
        <n v="0.3974464874687882"/>
        <n v="0.4270731256331944"/>
        <n v="0.43361209601239736"/>
        <n v="0.4667298510989405"/>
        <n v="0.5252796252243916"/>
        <n v="0.4987704813450358"/>
        <n v="0.6152846351509953"/>
        <n v="0.4380304804632197"/>
        <n v="0.4603354112377993"/>
        <n v="0.36899868235720223"/>
        <n v="0.4570550350955787"/>
        <n v="0.2579992011902284"/>
        <n v="0.28337709783051385"/>
        <n v="0.30065948276761234"/>
        <n v="0.4084620502840803"/>
        <n v="0.26550273999302476"/>
        <n v="0.03442380976438699"/>
        <n v="0.25180251293139017"/>
        <n v="0.35299518083989484"/>
        <n v="0.0"/>
        <n v="0.0014639450866679555"/>
        <n v="0.041581041701628615"/>
        <n v="0.0804500642537484"/>
        <n v="0.3645158301866175"/>
        <n v="0.6950735145627353"/>
        <n v="1.2496262144847767"/>
        <n v="1.4559984801240473"/>
        <n v="1.0425908215366988"/>
        <n v="1.1934277509213629"/>
        <n v="1.3349405966703152"/>
        <n v="1.1883002229361515"/>
        <n v="0.4829837850503474"/>
        <n v="1.037965797160078"/>
        <n v="0.008797321414674455"/>
        <n v="0.05406521270440106"/>
        <n v="0.7696861499000253"/>
        <n v="0.9943852330856047"/>
        <n v="0.18789794605467647"/>
        <n v="0.30977584602606273"/>
        <n v="0.9106579557881439"/>
        <n v="0.7035242181023689"/>
        <n v="0.8125507875763271"/>
        <n v="0.8169845479004694"/>
        <n v="0.7968597053216208"/>
        <n v="0.00669665444782739"/>
        <n v="0.3281538989109256"/>
        <n v="0.6564631484268485"/>
        <n v="0.034433539879129754"/>
        <n v="0.4659083453641413"/>
        <n v="1.052818669497122"/>
        <n v="0.7324042782240032"/>
        <n v="0.7656491810320692"/>
        <n v="0.9138560219348433"/>
        <n v="1.1551304630081807"/>
        <n v="0.6818797760423148"/>
        <n v="0.4536856829165635"/>
        <n v="1.4739990128302296"/>
        <n v="2.163502413978323"/>
        <n v="2.5865928577180757"/>
        <n v="2.142690954111321"/>
        <n v="2.241778698841307"/>
        <n v="2.3973402225768994"/>
        <n v="2.0479511400125494"/>
        <n v="0.9114403822780287"/>
        <n v="2.0896311411879727"/>
        <n v="0.0072988702898602485"/>
        <n v="0.04175036988049606"/>
        <n v="1.731374629517882"/>
        <n v="2.1176949121275963"/>
        <n v="0.22339074741174053"/>
        <n v="0.38102480485644735"/>
        <n v="1.8949704406512715"/>
        <n v="1.477413638456964"/>
        <n v="1.7455141260895402"/>
        <n v="1.6125985564780656"/>
        <n v="1.5940482550635038"/>
        <n v="0.006791368067997991"/>
        <n v="0.37974306937704644"/>
        <n v="1.3505532624441292"/>
        <n v="0.02255496964063087"/>
        <n v="0.5240810068786566"/>
        <n v="1.8219923662160853"/>
        <n v="1.4253726406916247"/>
        <n v="2.0250588373107306"/>
        <n v="1.83931176759923"/>
        <n v="2.276664602579188"/>
        <n v="1.3663395691239513"/>
        <n v="0.6413914494691879"/>
        <n v="3.943282998574938"/>
        <n v="4.376727135000432"/>
        <n v="5.53598301827531"/>
        <n v="4.866302129725632"/>
        <n v="4.966878193999823"/>
        <n v="4.276636843447285"/>
        <n v="4.197967560237135"/>
        <n v="2.0802424100072585"/>
        <n v="4.261135818942006"/>
        <n v="0.025549475126210034"/>
        <n v="0.04991277734312353"/>
        <n v="4.378098217833072"/>
        <n v="4.899709911711064"/>
        <n v="0.4420122764176172"/>
        <n v="0.47449687166585286"/>
        <n v="4.04699036203886"/>
        <n v="3.4802286113777647"/>
        <n v="4.097336297855058"/>
        <n v="3.760069565018312"/>
        <n v="3.786651034814059"/>
        <n v="0.0191958917722109"/>
        <n v="0.4856009106623422"/>
        <n v="3.50933511241954"/>
        <n v="0.10031664282034139"/>
        <n v="0.9931602096385987"/>
        <n v="3.9175714483221915"/>
        <n v="3.4727574280756803"/>
        <n v="4.780563789870888"/>
        <n v="4.169167809902411"/>
        <n v="5.03252283832467"/>
        <n v="3.196492508389185"/>
        <n v="7.925317208428022"/>
        <n v="8.968896746250847"/>
        <n v="9.325834661123881"/>
        <n v="7.271482351273521"/>
        <n v="7.721641622551302"/>
        <n v="8.333252184749353"/>
        <n v="5.879827403204078"/>
        <n v="8.04056650919009"/>
        <n v="7.266277031816173"/>
        <n v="7.314187347610524"/>
        <n v="7.164127237110439"/>
        <n v="5.564633964628236"/>
        <n v="6.877598174896788"/>
        <n v="7.5945615339051535"/>
        <n v="6.2730695319834915"/>
        <n v="6.523841933876206"/>
        <n v="0.6640604492799727"/>
        <n v="5.7859820484772815"/>
        <n v="5.842726489598369"/>
        <n v="8.313075053117975"/>
        <n v="5.693702962054058"/>
        <n v="4.971806433585945"/>
        <n v="0.1203445665199501"/>
        <n v="8.213086687308694"/>
        <n v="6.6218030343768355"/>
        <n v="0.6058489818167129"/>
        <n v="4.403683425604516"/>
        <n v="0.7177322360382488"/>
        <n v="0.7413457600552529"/>
        <n v="1.9809001565884325"/>
        <n v="1.1385232283727211"/>
        <n v="0.13382903440592878"/>
      </sharedItems>
    </cacheField>
    <cacheField name="TIC-1-3" numFmtId="2">
      <sharedItems containsSemiMixedTypes="0" containsString="0" containsNumber="1">
        <n v="9.568893527742695"/>
        <n v="5.578772091038728"/>
        <n v="7.074534601798414"/>
        <n v="6.663432768290594"/>
        <n v="7.316308140264348"/>
        <n v="7.09192711376157"/>
        <n v="7.231059969207195"/>
        <n v="5.460028673378133"/>
        <n v="5.9627140676197135"/>
        <n v="5.7563656570313"/>
        <n v="7.059517779714187"/>
        <n v="6.02442272823159"/>
        <n v="5.748648334707244"/>
        <n v="3.6269514219492565"/>
        <n v="3.8847664507645323"/>
        <n v="6.153825053899039"/>
        <n v="3.8144049576733523"/>
        <n v="5.885524359698251"/>
        <n v="3.2161412932658644"/>
        <n v="5.158312862928622"/>
        <n v="2.6916712397362237"/>
        <n v="1.873208945287691"/>
        <n v="3.919281418423268"/>
        <n v="3.223223043571799"/>
        <n v="2.081354005539669"/>
        <n v="4.696153657390431"/>
        <n v="3.837415134723123"/>
        <n v="4.8264385364014135"/>
        <n v="2.2619333209932346"/>
        <n v="2.0912455001921817"/>
        <n v="0.9663715362304524"/>
        <n v="3.6158545053179996"/>
        <n v="2.301919342994936"/>
        <n v="6.30689237580836"/>
        <n v="5.395339391070188"/>
        <n v="10.0"/>
        <n v="5.935382936122159"/>
        <n v="6.264302442277518"/>
        <n v="3.3888774214330635"/>
        <n v="4.238404167188667"/>
        <n v="2.9053885915774282"/>
        <n v="6.138041847624559"/>
        <n v="1.9560418668428434"/>
        <n v="1.1145780258784648"/>
        <n v="6.930020102896837"/>
        <n v="6.3319042589521874"/>
        <n v="2.8951254964674016"/>
        <n v="3.1086124058306286"/>
        <n v="2.3857966855434745"/>
        <n v="5.6451111414339366"/>
        <n v="5.361078392219353"/>
        <n v="6.585184068578931"/>
        <n v="5.195531625199486"/>
        <n v="1.6742755175033346"/>
        <n v="3.4016761782432896"/>
        <n v="1.6919229552164374"/>
        <n v="4.870836422345268"/>
        <n v="3.287679734796043"/>
        <n v="2.5420701063615088"/>
        <n v="2.6461630843529136"/>
        <n v="6.602472093303974"/>
        <n v="3.568183101189967"/>
        <n v="4.665988063552695"/>
        <n v="4.396156695410594"/>
        <n v="6.419454579794813"/>
        <n v="8.465206946788257"/>
        <n v="5.565774886114778"/>
        <n v="5.006245473235305"/>
        <n v="5.671957338035817"/>
        <n v="6.008749606403418"/>
        <n v="4.752093365794877"/>
        <n v="5.8883365054276995"/>
        <n v="5.532947332282284"/>
        <n v="4.92120869609276"/>
        <n v="5.427664875327731"/>
        <n v="3.9475935960730513"/>
        <n v="1.9330835993851894"/>
        <n v="2.9547407289928893"/>
        <n v="5.416767417918775"/>
        <n v="1.794804986242947"/>
        <n v="1.9792711655656317"/>
        <n v="1.978879758213317"/>
        <n v="3.787510191748762"/>
        <n v="4.175245378266933"/>
        <n v="2.7796027124013127"/>
        <n v="3.643024924718362"/>
        <n v="1.6464124887278098"/>
        <n v="3.8979984675999524"/>
        <n v="2.2401767921902236"/>
        <n v="1.726504493541654"/>
        <n v="3.0409447407098904"/>
        <n v="2.0128705924635124"/>
        <n v="0.9706111144933095"/>
        <n v="2.46113568560353"/>
        <n v="2.9813848844344966"/>
        <n v="0.23547680563688403"/>
      </sharedItems>
    </cacheField>
    <cacheField name="TIC-1-4" numFmtId="2">
      <sharedItems containsSemiMixedTypes="0" containsString="0" containsNumber="1">
        <n v="9.513600979353026"/>
        <n v="6.773650562784005"/>
        <n v="7.415283653728405"/>
        <n v="7.126196777328044"/>
        <n v="8.93535706587533"/>
        <n v="7.984442141914703"/>
        <n v="8.592928016580974"/>
        <n v="6.855535873299441"/>
        <n v="7.611384428329591"/>
        <n v="6.226105408723734"/>
        <n v="7.317938871766189"/>
        <n v="6.5637440853932025"/>
        <n v="8.151032190835135"/>
        <n v="5.083352380977518"/>
        <n v="4.778276124460811"/>
        <n v="7.431181066766151"/>
        <n v="6.201572726192477"/>
        <n v="6.998254642270995"/>
        <n v="3.3279075087636762"/>
        <n v="6.76160101822873"/>
        <n v="3.8928224012732704"/>
        <n v="4.423953015935796"/>
        <n v="5.244225372604378"/>
        <n v="3.9381236929938246"/>
        <n v="5.388455819020903"/>
        <n v="7.364539938644173"/>
        <n v="3.704472316643128"/>
        <n v="5.758407540630958"/>
        <n v="2.040039651729391"/>
        <n v="1.254618491530107"/>
        <n v="0.24314891641270042"/>
        <n v="0.0"/>
        <n v="6.826159350944124"/>
        <n v="7.236620942844958"/>
        <n v="7.286569729374536"/>
        <n v="9.24514721966052"/>
        <n v="8.067689412977371"/>
        <n v="9.125846865427327"/>
        <n v="6.367782670741486"/>
        <n v="7.096918427480247"/>
        <n v="6.279852464004629"/>
        <n v="7.806938557083207"/>
        <n v="3.153106912629096"/>
        <n v="0.5491443848632712"/>
        <n v="7.796658848926016"/>
        <n v="7.929417314528923"/>
        <n v="1.617506512220737"/>
        <n v="5.77460491186662"/>
        <n v="6.167929796654147"/>
        <n v="7.5311170960045235"/>
        <n v="6.98599776209946"/>
        <n v="8.902924173126214"/>
        <n v="6.94879483917026"/>
        <n v="1.4205083539374144"/>
        <n v="4.035059943602134"/>
        <n v="4.688656358599991"/>
        <n v="9.402323414408958"/>
        <n v="7.011186013235905"/>
        <n v="5.761743067925732"/>
        <n v="4.709029568346582"/>
        <n v="8.08764159311181"/>
        <n v="5.824825841414483"/>
        <n v="8.692275294825553"/>
        <n v="6.865832362334837"/>
        <n v="7.756979479155669"/>
        <n v="8.906196247725276"/>
        <n v="7.505606796217216"/>
        <n v="7.113753603188309"/>
        <n v="7.634906565501335"/>
        <n v="8.446211203377072"/>
        <n v="7.097218451228466"/>
        <n v="8.628849365487572"/>
        <n v="7.592008566481002"/>
        <n v="7.072082268884683"/>
        <n v="8.097822560658837"/>
        <n v="7.0380425196470275"/>
        <n v="5.689549370076748"/>
        <n v="6.446753636525009"/>
        <n v="7.116845501847685"/>
        <n v="4.784912568489061"/>
        <n v="2.188805851534182"/>
        <n v="5.773647090802825"/>
        <n v="7.239873090151152"/>
        <n v="9.230241866796137"/>
        <n v="5.389383246593055"/>
        <n v="7.799983582270488"/>
        <n v="2.194172280243698"/>
        <n v="5.920159299653195"/>
        <n v="6.570549168507375"/>
        <n v="6.104810336844427"/>
        <n v="5.97084847688326"/>
        <n v="4.633700293484669"/>
        <n v="5.866134616978452"/>
        <n v="1.8149683078147771"/>
        <n v="4.9352694557070365"/>
        <n v="0.25528461591949003"/>
      </sharedItems>
    </cacheField>
    <cacheField name="TIC-1" numFmtId="2">
      <sharedItems containsSemiMixedTypes="0" containsString="0" containsNumber="1">
        <n v="7.069154511066257"/>
        <n v="5.27727329646075"/>
        <n v="5.803929888177332"/>
        <n v="5.5694087998321145"/>
        <n v="6.010799121879598"/>
        <n v="5.686494983352484"/>
        <n v="5.867038899926067"/>
        <n v="4.940732423265116"/>
        <n v="5.252946347171187"/>
        <n v="4.75005234385397"/>
        <n v="5.289742506369379"/>
        <n v="4.779028032465287"/>
        <n v="5.044775312178654"/>
        <n v="3.611067557071724"/>
        <n v="3.5502089478887773"/>
        <n v="4.712964859051994"/>
        <n v="3.7740042467151094"/>
        <n v="4.471081199161958"/>
        <n v="2.8454997401160274"/>
        <n v="4.191802520745803"/>
        <n v="2.7260626404786716"/>
        <n v="2.6173098580787357"/>
        <n v="3.3187052942716857"/>
        <n v="2.8162730314596263"/>
        <n v="2.600607917181833"/>
        <n v="3.6294800640388214"/>
        <n v="2.5388534377998937"/>
        <n v="3.0686985228155383"/>
        <n v="1.3961583263160482"/>
        <n v="1.0565469485727854"/>
        <n v="0.45274822733577114"/>
        <n v="0.9283177440217121"/>
        <n v="2.6296027913590065"/>
        <n v="5.383523176809635"/>
        <n v="5.133029621865096"/>
        <n v="7.26475558477576"/>
        <n v="5.837080032266549"/>
        <n v="6.095545184719393"/>
        <n v="3.82451096416802"/>
        <n v="4.406436390669718"/>
        <n v="3.4711747308874994"/>
        <n v="5.459938367135506"/>
        <n v="1.1559371301166128"/>
        <n v="0.5127067319120497"/>
        <n v="5.396228380393714"/>
        <n v="5.95317762312663"/>
        <n v="0.958572995774964"/>
        <n v="2.4481550506799414"/>
        <n v="2.9876313054264125"/>
        <n v="5.065087766356166"/>
        <n v="4.880974669305015"/>
        <n v="6.17778871081259"/>
        <n v="4.859660090883532"/>
        <n v="1.518293976185216"/>
        <n v="2.8241917458555714"/>
        <n v="2.657985510531009"/>
        <n v="3.6235442542872223"/>
        <n v="3.102865056226885"/>
        <n v="3.7701597461992793"/>
        <n v="2.8820586382344073"/>
        <n v="5.7392608082320695"/>
        <n v="3.9090787182723603"/>
        <n v="5.310190700989015"/>
        <n v="4.815744521445544"/>
        <n v="2.822407640018249"/>
        <n v="5.84123385236056"/>
        <n v="5.4380125879892915"/>
        <n v="7.679742149992048"/>
        <n v="6.247889559942388"/>
        <n v="6.50214761665977"/>
        <n v="4.125740324326376"/>
        <n v="4.719291605436846"/>
        <n v="3.6749973973304906"/>
        <n v="5.806838415392226"/>
        <n v="1.1835570880853243"/>
        <n v="0.5206561854408885"/>
        <n v="5.816722122299388"/>
        <n v="6.344388832361262"/>
        <n v="0.9623562741597002"/>
        <n v="2.4574840871299877"/>
        <n v="3.3109065762859"/>
        <n v="5.447735554088182"/>
        <n v="5.179536169016455"/>
        <n v="6.667145766210751"/>
        <n v="5.184508636530744"/>
        <n v="1.6235093749838791"/>
        <n v="2.887988258017402"/>
        <n v="2.918885032588095"/>
        <n v="3.465331992114431"/>
        <n v="3.1012901354161695"/>
        <n v="4.032015437090931"/>
        <n v="3.2003635045554186"/>
        <n v="6.13131037194544"/>
        <n v="4.254965898665382"/>
        <n v="5.712732362790488"/>
        <n v="5.237962286139435"/>
        <n v="3.3899413397204023"/>
        <n v="6.842856188231394"/>
        <n v="5.851743682561942"/>
        <n v="8.534950017916263"/>
        <n v="6.812404940679018"/>
        <n v="7.1220148556339975"/>
        <n v="4.9759183974616175"/>
        <n v="5.246373601223926"/>
        <n v="4.082913112749552"/>
        <n v="6.789398075254147"/>
        <n v="1.5093277703003687"/>
        <n v="0.610797667058541"/>
        <n v="6.574329339916913"/>
        <n v="7.088025609581549"/>
        <n v="1.238661071276439"/>
        <n v="2.7534088663092184"/>
        <n v="4.274203642684502"/>
        <n v="6.297639831477895"/>
        <n v="5.900210680060773"/>
        <n v="7.108544204459806"/>
        <n v="5.662418619790861"/>
        <n v="1.263734167135103"/>
        <n v="3.087642283237223"/>
        <n v="3.630435851214574"/>
        <n v="4.187193347922146"/>
        <n v="3.0622328212805483"/>
        <n v="4.656126610352053"/>
        <n v="3.9234788673264713"/>
        <n v="7.188673780337362"/>
        <n v="4.708833974349993"/>
        <n v="6.293488880359986"/>
        <n v="5.346042176399619"/>
        <n v="7.380714369270822"/>
        <n v="9.008726155873145"/>
        <n v="8.031438459803567"/>
        <n v="7.220622308061033"/>
        <n v="7.757126381522114"/>
        <n v="7.849241915072909"/>
        <n v="6.202729324907552"/>
        <n v="7.757693948436588"/>
        <n v="7.224547289312663"/>
        <n v="6.571864488225037"/>
        <n v="7.519706009638352"/>
        <n v="6.315205796300177"/>
        <n v="5.259771053819576"/>
        <n v="5.8158616165252575"/>
        <n v="6.5314975555910335"/>
        <n v="4.393127741171395"/>
        <n v="1.3412206577384824"/>
        <n v="4.527314703165348"/>
        <n v="5.487462970529813"/>
        <n v="7.208568297653506"/>
        <n v="4.701674944887149"/>
        <n v="5.755383409388694"/>
        <n v="1.1658346413041505"/>
        <n v="5.497800933796552"/>
        <n v="5.272282231802202"/>
        <n v="3.0738311634341393"/>
        <n v="4.632287891712209"/>
        <n v="2.2287581693666447"/>
        <n v="2.765747847432144"/>
        <n v="1.57018927978197"/>
        <n v="2.4393966995598495"/>
        <n v="0.535346799603063"/>
      </sharedItems>
    </cacheField>
    <cacheField name="TIC-2-1" numFmtId="2">
      <sharedItems containsSemiMixedTypes="0" containsString="0" containsNumber="1">
        <n v="4.008368046094199"/>
        <n v="4.1631656224220235"/>
        <n v="3.5794112536491136"/>
        <n v="8.311932919052571"/>
        <n v="5.476631779042514"/>
        <n v="3.8020869331940634"/>
        <n v="2.4776345519760126"/>
        <n v="3.3449083497554346"/>
        <n v="3.8098258657378796"/>
        <n v="3.414158548206536"/>
        <n v="4.584950851588147"/>
        <n v="6.7955677854276475"/>
        <n v="1.3626439423513401"/>
        <n v="1.9486354572040145"/>
        <n v="2.7799804681454887"/>
        <n v="2.990984664036371"/>
        <n v="2.5346151436495"/>
        <n v="1.9158171471766523"/>
        <n v="1.776513601426285"/>
        <n v="2.258126125596157"/>
        <n v="2.0020911835350463"/>
        <n v="1.9578470264429169"/>
        <n v="1.7920746596444834"/>
        <n v="2.420408323713224"/>
        <n v="0.5175803447515446"/>
        <n v="2.6910738226269624"/>
        <n v="1.2628997158856023"/>
        <n v="3.007540097018962"/>
        <n v="1.0554345794258027"/>
        <n v="1.2666236927490802"/>
        <n v="0.27276701259106345"/>
        <n v="0.0"/>
        <n v="0.369167742624584"/>
        <n v="4.6255483107437705"/>
        <n v="2.870384195733959"/>
        <n v="3.873959095238826"/>
        <n v="3.6992582524135575"/>
        <n v="2.33982769401535"/>
        <n v="1.8779465301584366"/>
        <n v="2.085986132927404"/>
        <n v="1.9781449674602491"/>
        <n v="3.585124374321617"/>
        <n v="2.1170159877877217"/>
        <n v="0.28953614546354367"/>
        <n v="4.5458027665934715"/>
        <n v="3.580450182080586"/>
        <n v="0.011323334202458409"/>
        <n v="1.487849998133083"/>
        <n v="2.6109032443783233"/>
        <n v="3.2054877027738913"/>
        <n v="3.3990749633585517"/>
        <n v="5.361490120658034"/>
        <n v="7.496563354861166"/>
        <n v="0.7380614604826125"/>
        <n v="2.128480474315974"/>
        <n v="1.8265643236077147"/>
        <n v="2.4559862011378852"/>
        <n v="3.155410563816406"/>
        <n v="2.6660855238787744"/>
        <n v="1.638619607532661"/>
        <n v="8.401211370837085"/>
        <n v="2.330556588460261"/>
        <n v="1.3595303112988377"/>
        <n v="2.032984223152207"/>
        <n v="0.3433364727240282"/>
        <n v="5.051818083355654"/>
        <n v="2.708815644850655"/>
        <n v="4.168252626073966"/>
        <n v="4.006233807156984"/>
        <n v="2.267206793795496"/>
        <n v="1.865016898259651"/>
        <n v="2.3798376756138975"/>
        <n v="2.1023014492440484"/>
        <n v="4.3742100348973505"/>
        <n v="1.828915810956977"/>
        <n v="1.0927677924773775"/>
        <n v="4.3589916062074066"/>
        <n v="3.654546084676965"/>
        <n v="0.010633343783073951"/>
        <n v="1.333104861077132"/>
        <n v="2.931184180088919"/>
        <n v="2.9345087510696333"/>
        <n v="3.582123113137414"/>
        <n v="5.360058094827631"/>
        <n v="7.0196825878473135"/>
        <n v="0.7892946291027472"/>
        <n v="2.0926080695522957"/>
        <n v="1.5862986197313367"/>
        <n v="3.1858075988920884"/>
        <n v="2.6720166815238033"/>
        <n v="2.7116982276827235"/>
        <n v="1.6671785081311032"/>
        <n v="7.880373482745568"/>
        <n v="2.6440401328393213"/>
        <n v="1.3246873722408812"/>
        <n v="2.474592679927126"/>
        <n v="0.23695848122620844"/>
        <n v="4.953073751577663"/>
        <n v="2.6968011373880927"/>
        <n v="5.793689079513747"/>
        <n v="3.840109742384783"/>
        <n v="2.423694255230453"/>
        <n v="2.032178314342366"/>
        <n v="2.7578889463179967"/>
        <n v="2.3560452288325626"/>
        <n v="3.4166701133330952"/>
        <n v="0.9245757278482224"/>
        <n v="0.6423014358385204"/>
        <n v="4.13071754153969"/>
        <n v="4.125981447301036"/>
        <n v="1.56392085044986"/>
        <n v="2.8937094204313105"/>
        <n v="2.958518446263014"/>
        <n v="3.713408181654054"/>
        <n v="5.196503160096979"/>
        <n v="6.305051624886039"/>
        <n v="1.0114467044894444"/>
        <n v="2.3987761383649224"/>
        <n v="1.8414507683358747"/>
        <n v="1.3330287649908799"/>
        <n v="1.9548232912850545"/>
        <n v="2.427810146652141"/>
        <n v="1.6567513729133656"/>
        <n v="7.532948323936387"/>
        <n v="2.3294805976862616"/>
        <n v="1.647641922256532"/>
        <n v="2.0466712673913565"/>
        <n v="4.304025786558522"/>
        <n v="7.513563930234319"/>
        <n v="3.9631358227215108"/>
        <n v="8.405722331058902"/>
        <n v="5.09865542158395"/>
        <n v="3.8289102121775738"/>
        <n v="6.811849587923922"/>
        <n v="2.4281815586378896"/>
        <n v="5.078159946166554"/>
        <n v="2.677587072749554"/>
        <n v="3.437328032209226"/>
        <n v="3.312036417615479"/>
        <n v="2.181740243367901"/>
        <n v="2.240638614127038"/>
        <n v="3.7787904909542065"/>
        <n v="3.04594575232238"/>
        <n v="0.24778620516742897"/>
        <n v="1.7483257185333514"/>
        <n v="2.6542886591084986"/>
        <n v="1.7586274726348816"/>
        <n v="2.080898734995222"/>
        <n v="1.9953746196526385"/>
        <n v="0.880178984303349"/>
        <n v="0.19100787925688112"/>
        <n v="2.3901528352435752"/>
        <n v="2.3122631681813006"/>
        <n v="2.628074543095244"/>
        <n v="1.6452293214701244"/>
        <n v="0.24718295640076712"/>
        <n v="1.0484376822930046"/>
        <n v="0.9780034602822394"/>
      </sharedItems>
    </cacheField>
    <cacheField name="TIC-2-2" numFmtId="2">
      <sharedItems containsSemiMixedTypes="0" containsString="0" containsNumber="1">
        <n v="4.857068074260182"/>
        <n v="3.5093219506218065"/>
        <n v="3.549589889978175"/>
        <n v="7.93592008162166"/>
        <n v="5.214153739395432"/>
        <n v="4.33382446247745"/>
        <n v="2.8931954855748754"/>
        <n v="3.524647242296713"/>
        <n v="6.748645199328878"/>
        <n v="4.021783569152156"/>
        <n v="6.032754209375087"/>
        <n v="5.573426132276102"/>
        <n v="2.3299963241136927"/>
        <n v="2.8551294385113994"/>
        <n v="3.662256411873962"/>
        <n v="2.7537514057535506"/>
        <n v="2.7910016001630487"/>
        <n v="0.9307574630803928"/>
        <n v="2.812016630049339"/>
        <n v="2.889207209589817"/>
        <n v="0.9640830726042138"/>
        <n v="1.8204735948833604"/>
        <n v="1.5560888084426494"/>
        <n v="2.5923520941026896"/>
        <n v="1.1162714381207608"/>
        <n v="0.4373334174460233"/>
        <n v="2.8912392589510256"/>
        <n v="0.9807762064610677"/>
        <n v="0.8698596733435159"/>
        <n v="0.8044853091929913"/>
        <n v="0.2030502577366488"/>
        <n v="0.0"/>
        <n v="1.332223692846337"/>
        <n v="3.4767545684715713"/>
        <n v="3.2066830767289707"/>
        <n v="4.9684577412588515"/>
        <n v="4.22255307894906"/>
        <n v="3.0008273777100563"/>
        <n v="2.5806784254589705"/>
        <n v="2.646868642263472"/>
        <n v="0.9282735102045272"/>
        <n v="5.082980403765175"/>
        <n v="1.2924319202805807"/>
        <n v="0.19651737068583786"/>
        <n v="6.409590181137487"/>
        <n v="3.577465361140665"/>
        <n v="2.403438227519165"/>
        <n v="2.8510077145085893"/>
        <n v="3.964255341863492"/>
        <n v="3.428746644085644"/>
        <n v="6.549965364173573"/>
        <n v="5.541025560148054"/>
        <n v="1.0458321151146863"/>
        <n v="1.6471185540058062"/>
        <n v="1.4865623911943717"/>
        <n v="0.7266183908352754"/>
        <n v="1.5170158354270518"/>
        <n v="2.272273990617391"/>
        <n v="3.052420201118294"/>
        <n v="7.443645508685646"/>
        <n v="2.023220561670575"/>
        <n v="2.3246766008606183"/>
        <n v="1.4268474361602879"/>
        <n v="0.5710361995945606"/>
        <n v="3.1364378599305343"/>
        <n v="3.0600206723111127"/>
        <n v="4.704661339260042"/>
        <n v="3.4499315169036175"/>
        <n v="2.1190210738683306"/>
        <n v="2.0813159430346806"/>
        <n v="1.840478665908035"/>
        <n v="1.0185328967561211"/>
        <n v="3.6435736893888198"/>
        <n v="0.8179362628003944"/>
        <n v="0.3090383129258963"/>
        <n v="5.775084284554848"/>
        <n v="3.362562493100131"/>
        <n v="2.8423062971693245"/>
        <n v="2.164833171780354"/>
        <n v="3.2374883384629936"/>
        <n v="2.7801346854448243"/>
        <n v="5.296366817058539"/>
        <n v="3.3473585178049987"/>
        <n v="0.9883797105633809"/>
        <n v="0.7486919061350905"/>
        <n v="1.0650334651233604"/>
        <n v="1.3489592874361116"/>
        <n v="0.2697348387887287"/>
        <n v="1.6361333558173023"/>
        <n v="2.0796296453558267"/>
        <n v="6.402017006130116"/>
        <n v="1.1738663894183001"/>
        <n v="1.14325220098242"/>
        <n v="1.5347977837923743"/>
        <n v="0.7862848193174498"/>
        <n v="4.195535921173469"/>
        <n v="3.935667136969832"/>
        <n v="6.026897661141514"/>
        <n v="4.031024844381413"/>
        <n v="2.6027458749397963"/>
        <n v="2.6946036047949082"/>
        <n v="2.4807258601634614"/>
        <n v="0.9398592244729107"/>
        <n v="4.423883677002418"/>
        <n v="1.4224163553890556"/>
        <n v="0.11905382929086936"/>
        <n v="6.857290083235167"/>
        <n v="3.8066471670805573"/>
        <n v="2.041806231051898"/>
        <n v="3.215293506783405"/>
        <n v="3.3091317265383218"/>
        <n v="3.62357165127364"/>
        <n v="6.817195019719977"/>
        <n v="4.7908414625417475"/>
        <n v="0.14146096463506214"/>
        <n v="1.5109591151668522"/>
        <n v="1.255121067681195"/>
        <n v="0.7595557879438207"/>
        <n v="1.222089650378325"/>
        <n v="1.8750113734106035"/>
        <n v="2.9785688549310856"/>
        <n v="10.0"/>
        <n v="1.973186653742428"/>
        <n v="1.4585777352900855"/>
        <n v="1.9145028879364205"/>
        <n v="6.530642697785128"/>
        <n v="6.777779327931519"/>
        <n v="4.351069585862274"/>
        <n v="8.453595271572782"/>
        <n v="5.312532224663377"/>
        <n v="4.1742782585276315"/>
        <n v="6.35798522609127"/>
        <n v="2.6784351642805753"/>
        <n v="6.517931774094342"/>
        <n v="3.632006172577402"/>
        <n v="5.099446069409953"/>
        <n v="3.472796621581456"/>
        <n v="2.3612989830047884"/>
        <n v="3.065458679034467"/>
        <n v="4.395519907411339"/>
        <n v="3.1552631291619098"/>
        <n v="0.11551745682046753"/>
        <n v="1.900020745100941"/>
        <n v="2.5161623746953445"/>
        <n v="1.6606574619885452"/>
        <n v="2.5279907217232744"/>
        <n v="2.8127323966900035"/>
        <n v="0.9232601108103812"/>
        <n v="1.0053003126323106"/>
        <n v="1.5037316918418373"/>
        <n v="1.704637682565987"/>
        <n v="1.2391497662839943"/>
        <n v="2.1553098359681226"/>
        <n v="0.39463005176569926"/>
        <n v="0.9365654847620561"/>
        <n v="1.3931609104066403"/>
      </sharedItems>
    </cacheField>
    <cacheField name="TIC-2-3" numFmtId="2">
      <sharedItems containsSemiMixedTypes="0" containsString="0" containsNumber="1">
        <n v="8.171128050582048"/>
        <n v="3.576493529516043"/>
        <n v="6.906281392188146"/>
        <n v="9.545588843585653"/>
        <n v="4.384269928499675"/>
        <n v="7.878922176918986"/>
        <n v="5.390888140400638"/>
        <n v="3.339833362878922"/>
        <n v="5.486911304142291"/>
        <n v="3.853631152868877"/>
        <n v="10.0"/>
        <n v="5.170478047627489"/>
        <n v="4.696862258464812"/>
        <n v="5.90911776871713"/>
        <n v="6.764462565738936"/>
        <n v="3.877858535720617"/>
        <n v="2.954558884358565"/>
        <n v="3.323878744903386"/>
        <n v="5.138273355787981"/>
        <n v="4.267564852567512"/>
        <n v="7.175441706553212"/>
        <n v="3.39774271701235"/>
        <n v="1.4772794421792825"/>
        <n v="4.136382438101991"/>
        <n v="3.693198605448207"/>
        <n v="1.641552916149619"/>
        <n v="0.0"/>
        <n v="0.8441174732612422"/>
        <n v="3.73219878272174"/>
        <n v="8.314128700585004"/>
        <n v="7.513147787035396"/>
        <n v="5.208000945458843"/>
        <n v="4.28411038231992"/>
        <n v="4.333451515688708"/>
        <n v="5.580866276664894"/>
        <n v="5.318205991845418"/>
        <n v="1.6117118714175973"/>
        <n v="7.940377001713644"/>
        <n v="7.0684866749394315"/>
        <n v="0.7386397210896413"/>
        <n v="0.9847544761567097"/>
        <n v="3.408970040772912"/>
        <n v="3.501743189741772"/>
        <n v="4.344974295337706"/>
        <n v="5.065000295455889"/>
        <n v="3.5454706612302784"/>
        <n v="2.500147727944218"/>
        <n v="4.431838326537848"/>
        <n v="5.387638125627844"/>
        <n v="3.9393133605152753"/>
        <n v="4.103586834485611"/>
        <n v="2.626307392306329"/>
        <n v="5.768480765821663"/>
        <n v="7.677421261005732"/>
        <n v="7.058145718844177"/>
        <n v="5.2978195355433435"/>
        <n v="4.509543225196478"/>
        <n v="3.9774271701235007"/>
        <n v="6.893872244873841"/>
        <n v="5.287183123559654"/>
        <n v="2.3636471074868526"/>
        <n v="8.075695798617266"/>
        <n v="7.405601843644744"/>
        <n v="0.5909117768717131"/>
        <n v="3.46835667434852"/>
        <n v="4.308633221060096"/>
        <n v="3.7602670921231462"/>
        <n v="3.840926549666135"/>
        <n v="1.9698044082018553"/>
        <n v="4.924363292560422"/>
        <n v="4.866453938426993"/>
        <n v="4.545588843585653"/>
        <n v="4.171246232937422"/>
        <n v="3.6261301187732675"/>
        <n v="3.151627961945282"/>
        <n v="2.806830940140637"/>
        <n v="5.371978963540744"/>
        <n v="7.299533179696272"/>
        <n v="5.520297819535544"/>
        <n v="5.586775394433612"/>
        <n v="3.8914495065886663"/>
        <n v="3.9000177273533065"/>
        <n v="4.0288364947113395"/>
        <n v="1.8802812740057908"/>
        <n v="7.386397210896414"/>
        <n v="6.711575961708917"/>
        <n v="0.6565029841044733"/>
        <n v="2.8313537788808136"/>
        <n v="3.223128286946759"/>
        <n v="3.2955149796135434"/>
        <n v="4.479406724576021"/>
        <n v="4.6427938308810495"/>
        <n v="1.6882349465224844"/>
        <n v="4.220882822194647"/>
        <n v="8.441470188500857"/>
        <n v="4.09088223128287"/>
        <n v="3.6580393547243393"/>
        <n v="2.5607161850735687"/>
        <n v="7.397329078768539"/>
        <n v="7.304260473911245"/>
        <n v="8.019559179814454"/>
        <n v="2.790285410388229"/>
        <n v="5.509956863440289"/>
        <n v="4.361519825090115"/>
        <n v="5.049636589257225"/>
        <n v="4.062518465993027"/>
        <n v="5.5486615848253855"/>
        <n v="3.0951958872540337"/>
        <n v="4.015245523843291"/>
        <n v="3.1734916976895358"/>
        <n v="2.5515570525320577"/>
        <n v="1.8465993027241034"/>
        <n v="3.816403710925959"/>
        <n v="2.215919163268924"/>
        <n v="3.376765348933404"/>
        <n v="6.4016427347397045"/>
      </sharedItems>
    </cacheField>
    <cacheField name="TIC-2" numFmtId="2">
      <sharedItems containsSemiMixedTypes="0" containsString="0" containsNumber="1">
        <n v="5.678854723645475"/>
        <n v="3.7496603675199576"/>
        <n v="4.678427511938478"/>
        <n v="8.597813948086626"/>
        <n v="5.025018482312541"/>
        <n v="5.338277857530166"/>
        <n v="3.587239392650508"/>
        <n v="3.40312965164369"/>
        <n v="5.34846078973635"/>
        <n v="3.7631910900758565"/>
        <n v="6.87256835365441"/>
        <n v="5.846490655110413"/>
        <n v="2.344157876447985"/>
        <n v="3.1668757180600755"/>
        <n v="4.117118216245527"/>
        <n v="4.1697328785096195"/>
        <n v="3.0678250931777225"/>
        <n v="1.93371116487187"/>
        <n v="2.6374696587930035"/>
        <n v="3.4285355636579844"/>
        <n v="1.973577713499275"/>
        <n v="2.6819618246312626"/>
        <n v="3.507868391546782"/>
        <n v="2.803501044942754"/>
        <n v="1.0370437416838625"/>
        <n v="1.5352288940840895"/>
        <n v="1.8771394723386368"/>
        <n v="2.7082329138606736"/>
        <n v="1.872830952739175"/>
        <n v="3.3166770596203525"/>
        <n v="0.7057900621591104"/>
        <n v="0.0"/>
        <n v="0.8485029695773877"/>
        <n v="3.9448338873123605"/>
        <n v="3.9953950137266863"/>
        <n v="5.718848512360894"/>
        <n v="5.144986372799338"/>
        <n v="3.516218672394749"/>
        <n v="2.914245112645775"/>
        <n v="3.0221020969598618"/>
        <n v="2.82909491810989"/>
        <n v="4.718338694076361"/>
        <n v="2.909217966637907"/>
        <n v="0.699255129188993"/>
        <n v="6.298589983148201"/>
        <n v="4.742134072720228"/>
        <n v="0.24998768509736657"/>
        <n v="1.6253475672696525"/>
        <n v="3.2486737804022776"/>
        <n v="3.526237695136765"/>
        <n v="3.443188265728656"/>
        <n v="5.418809926723105"/>
        <n v="6.0341964034883695"/>
        <n v="1.7764547456091926"/>
        <n v="2.0919155854219995"/>
        <n v="2.581655013779978"/>
        <n v="1.5532946780508141"/>
        <n v="2.5423284278673415"/>
        <n v="3.4419992133746695"/>
        <n v="2.8767843897220766"/>
        <n v="7.928411293745459"/>
        <n v="2.819121328205483"/>
        <n v="2.212921932172674"/>
        <n v="2.028713017206275"/>
        <n v="0.5861633818599437"/>
        <n v="4.097280925923934"/>
        <n v="3.845772360994477"/>
        <n v="5.516778408779913"/>
        <n v="4.83810368096826"/>
        <n v="3.228015801069057"/>
        <n v="2.818625355496937"/>
        <n v="2.7325811705484777"/>
        <n v="3.3382355302913362"/>
        <n v="4.434988949281942"/>
        <n v="3.180241439543738"/>
        <n v="1.2551510709633753"/>
        <n v="6.06992389645984"/>
        <n v="4.807570140473947"/>
        <n v="0.20051504021826236"/>
        <n v="1.7200552114677223"/>
        <n v="2.683525412075946"/>
        <n v="3.213451254627049"/>
        <n v="3.556963673214111"/>
        <n v="5.324876967910529"/>
        <n v="5.1440138003694"/>
        <n v="1.577411074674898"/>
        <n v="2.200522355936844"/>
        <n v="2.164086211506944"/>
        <n v="2.168190431510019"/>
        <n v="2.6220382709576513"/>
        <n v="3.0714285073090064"/>
        <n v="2.7641323323575278"/>
        <n v="7.387104221931557"/>
        <n v="2.663050918398348"/>
        <n v="2.0313565639988562"/>
        <n v="2.3870061418882607"/>
        <n v="0.6224535912683001"/>
        <n v="3.9851468709639226"/>
        <n v="4.001482412632889"/>
        <n v="6.373373306783844"/>
        <n v="4.46381080210058"/>
        <n v="3.537738508201287"/>
        <n v="2.872743808575313"/>
        <n v="3.046210844611588"/>
        <n v="3.396592232726438"/>
        <n v="3.956463428348951"/>
        <n v="1.767183655865281"/>
        <n v="0.8805455130450601"/>
        <n v="6.124801611890423"/>
        <n v="4.881401525363504"/>
        <n v="1.420743355202077"/>
        <n v="2.980118902031843"/>
        <n v="3.163592819916032"/>
        <n v="3.5441649375137456"/>
        <n v="5.497701634797659"/>
        <n v="5.246228972769612"/>
        <n v="1.3691555178276906"/>
        <n v="2.3776211801595113"/>
        <n v="2.5094700541849724"/>
        <n v="1.2602731664857283"/>
        <n v="2.3720754340595516"/>
        <n v="2.824689251000056"/>
        <n v="2.952067683346366"/>
        <n v="8.658139504145748"/>
        <n v="2.79784982757052"/>
        <n v="2.2547530040903188"/>
        <n v="2.1739634468004487"/>
        <n v="6.073688565080021"/>
        <n v="7.229557445644792"/>
        <n v="5.20615529416501"/>
        <n v="8.292958927482047"/>
        <n v="4.400491018878519"/>
        <n v="4.504381778048498"/>
        <n v="5.843784879701769"/>
        <n v="3.3854177707252298"/>
        <n v="5.219536728751307"/>
        <n v="3.9527516100507802"/>
        <n v="4.268112984728896"/>
        <n v="3.293342975483657"/>
        <n v="2.8931405548248934"/>
        <n v="3.1071142723349316"/>
        <n v="3.7826006986850276"/>
        <n v="2.917588644672116"/>
        <n v="0.7366343215706667"/>
        <n v="2.2904915835270168"/>
        <n v="2.9956182482432676"/>
        <n v="2.124614606327331"/>
        <n v="2.849400939077924"/>
        <n v="2.3413420598705224"/>
        <n v="2.5708522879436204"/>
        <n v="0.5957399895869683"/>
        <n v="2.423549958672939"/>
        <n v="2.323819911701951"/>
        <n v="3.422955681372981"/>
        <n v="1.5482188768998297"/>
        <n v="0.4953101604759028"/>
        <n v="2.434403052966826"/>
        <n v="1.7752410850158151"/>
      </sharedItems>
    </cacheField>
    <cacheField name="TIC" numFmtId="2">
      <sharedItems containsSemiMixedTypes="0" containsString="0" containsNumber="1">
        <n v="6.374004617355866"/>
        <n v="4.513466831990353"/>
        <n v="5.241178700057905"/>
        <n v="7.083611373959371"/>
        <n v="5.51790880209607"/>
        <n v="5.512386420441324"/>
        <n v="4.7271391462882875"/>
        <n v="4.171931037454403"/>
        <n v="5.300703568453768"/>
        <n v="4.256621716964913"/>
        <n v="6.081155430011895"/>
        <n v="5.3127593437878495"/>
        <n v="3.6944665943133197"/>
        <n v="3.3889716375658994"/>
        <n v="3.8336635820671523"/>
        <n v="4.441348868780807"/>
        <n v="3.4209146699464155"/>
        <n v="3.202396182016914"/>
        <n v="2.7414846994545155"/>
        <n v="3.810169042201894"/>
        <n v="2.349820176988973"/>
        <n v="2.649635841354999"/>
        <n v="3.4132868429092333"/>
        <n v="2.8098870382011905"/>
        <n v="1.8188258294328477"/>
        <n v="2.5823544790614554"/>
        <n v="2.2079964550692655"/>
        <n v="2.8884657183381055"/>
        <n v="1.6344946395276116"/>
        <n v="2.186612004096569"/>
        <n v="0.5792691447474407"/>
        <n v="0.46415887201085604"/>
        <n v="1.739052880468197"/>
        <n v="4.664178532060998"/>
        <n v="4.564212317795891"/>
        <n v="6.491802048568327"/>
        <n v="5.491033202532943"/>
        <n v="4.805881928557071"/>
        <n v="3.369378038406898"/>
        <n v="3.7142692438147895"/>
        <n v="3.1501348244986946"/>
        <n v="5.089138530605934"/>
        <n v="2.03257754837726"/>
        <n v="0.6059809305505214"/>
        <n v="5.847409181770957"/>
        <n v="5.347655847923429"/>
        <n v="0.6042803404361653"/>
        <n v="2.0367513089747966"/>
        <n v="3.1181525429143453"/>
        <n v="4.295662730746466"/>
        <n v="4.1620814675168365"/>
        <n v="5.798299318767848"/>
        <n v="5.4469282471859515"/>
        <n v="1.6473743608972042"/>
        <n v="2.4580536656387855"/>
        <n v="2.6198202621554936"/>
        <n v="2.588419466169018"/>
        <n v="2.8225967420471134"/>
        <n v="3.6060794797869744"/>
        <n v="2.879421513978242"/>
        <n v="6.833836050988764"/>
        <n v="3.3641000232389215"/>
        <n v="3.761556316580844"/>
        <n v="3.4222287693259097"/>
        <n v="1.7042855109390964"/>
        <n v="4.969257389142246"/>
        <n v="4.641892474491884"/>
        <n v="6.598260279385981"/>
        <n v="5.542996620455324"/>
        <n v="4.865081708864414"/>
        <n v="3.4721828399116568"/>
        <n v="3.725936387992662"/>
        <n v="3.5066164638109134"/>
        <n v="5.1209136823370836"/>
        <n v="2.181899263814531"/>
        <n v="0.8879036282021319"/>
        <n v="5.943323009379614"/>
        <n v="5.575979486417603"/>
        <n v="0.5814356571889813"/>
        <n v="2.088769649298855"/>
        <n v="2.997215994180923"/>
        <n v="4.330593404357615"/>
        <n v="4.368249921115282"/>
        <n v="5.996011367060641"/>
        <n v="5.164261218450072"/>
        <n v="1.6004602248293887"/>
        <n v="2.544255306977123"/>
        <n v="2.5414856220475195"/>
        <n v="2.8167612118122247"/>
        <n v="2.86166420318691"/>
        <n v="3.5517219721999687"/>
        <n v="2.982247918456473"/>
        <n v="6.759207296938499"/>
        <n v="3.459008408531865"/>
        <n v="3.8720444633946722"/>
        <n v="3.8124842140138475"/>
        <n v="2.0061974654943513"/>
        <n v="5.414001529597659"/>
        <n v="4.9266130475974155"/>
        <n v="7.454161662350053"/>
        <n v="5.638107871389799"/>
        <n v="5.329876681917643"/>
        <n v="3.9243311030184658"/>
        <n v="4.146292222917757"/>
        <n v="3.739752672737995"/>
        <n v="5.372930751801549"/>
        <n v="1.6382557130828248"/>
        <n v="0.7456715900518006"/>
        <n v="6.349565475903669"/>
        <n v="5.984713567472526"/>
        <n v="0.6193305356382195"/>
        <n v="2.0870761107556475"/>
        <n v="3.6271612723581725"/>
        <n v="4.730616325696964"/>
        <n v="4.722187808787259"/>
        <n v="6.303122919628732"/>
        <n v="5.454323796280236"/>
        <n v="1.3164448424813968"/>
        <n v="2.7326317316983673"/>
        <n v="3.069952952699773"/>
        <n v="2.723733257203937"/>
        <n v="2.71715412767005"/>
        <n v="3.740407930676054"/>
        <n v="3.4377732753364185"/>
        <n v="7.923406642241555"/>
        <n v="3.7533419009602564"/>
        <n v="4.274120942225152"/>
        <n v="3.760002811600034"/>
        <n v="6.727201467175421"/>
        <n v="8.11914180075897"/>
        <n v="6.618796876984289"/>
        <n v="7.756790617771541"/>
        <n v="6.078808700200316"/>
        <n v="6.176811846560703"/>
        <n v="6.02325710230466"/>
        <n v="5.571555859580909"/>
        <n v="6.222042009031985"/>
        <n v="5.262308049137908"/>
        <n v="5.893909497183624"/>
        <n v="4.804274385891917"/>
        <n v="4.076455804322235"/>
        <n v="4.461487944430095"/>
        <n v="5.1570491271380305"/>
        <n v="3.6553581929217556"/>
        <n v="1.0389274896545746"/>
        <n v="3.4089031433461825"/>
        <n v="4.24154060938654"/>
        <n v="4.666591451990419"/>
        <n v="3.7755379419825363"/>
        <n v="4.048362734629608"/>
        <n v="1.8683434646238852"/>
        <n v="3.04677046169176"/>
        <n v="3.847916095237571"/>
        <n v="2.6988255375680454"/>
        <n v="4.027621786542595"/>
        <n v="1.8884885231332371"/>
        <n v="1.6305290039540234"/>
        <n v="0.785094639890985"/>
        <n v="2.436899876263338"/>
        <n v="1.155293942309439"/>
      </sharedItems>
    </cacheField>
    <cacheField name="INN-1-1" numFmtId="2">
      <sharedItems containsSemiMixedTypes="0" containsString="0" containsNumber="1">
        <n v="3.328279098607484"/>
        <n v="1.305810674425346"/>
        <n v="3.543171469499705"/>
        <n v="4.787310829977217"/>
        <n v="1.7780030891335408"/>
        <n v="2.789845161713447"/>
        <n v="3.089578053933147"/>
        <n v="1.2326944965616229"/>
        <n v="1.1437373537121474"/>
        <n v="0.5606025901752876"/>
        <n v="6.5104933172180255"/>
        <n v="1.9045627802808072"/>
        <n v="0.41462063104338753"/>
        <n v="2.1506065697855385"/>
        <n v="2.426975325459275"/>
        <n v="3.0419735062786724"/>
        <n v="0.5618465942906079"/>
        <n v="0.0"/>
        <n v="0.9912661406867106"/>
        <n v="0.4739914568653467"/>
        <n v="0.4261116703373951"/>
        <n v="2.0503034751441787"/>
        <n v="1.3460696981733369"/>
        <n v="4.575389991641236"/>
        <n v="1.1006761082378849"/>
        <n v="3.717896419370699"/>
        <n v="4.213862961558003"/>
        <n v="3.772502514396817"/>
        <n v="3.56135938817888"/>
        <n v="2.7982276221215723"/>
        <n v="1.0130509606328708"/>
        <n v="0.6449766219975396"/>
        <n v="1.4381462619901528"/>
        <n v="4.502996356301888"/>
        <n v="7.932299831245562"/>
        <n v="4.550705708101288"/>
        <n v="2.428600256318765"/>
        <n v="1.8303131355376336"/>
        <n v="1.121724748477781"/>
        <n v="3.971205496168295"/>
        <n v="4.104665827757467"/>
        <n v="0.8469478159270687"/>
        <n v="3.3759532829250367"/>
        <n v="1.013553345837593"/>
        <n v="3.0638774616681097"/>
        <n v="2.3054851196564523"/>
        <n v="9.056079344941644"/>
        <n v="0.8576367842455035"/>
        <n v="0.4088117377057735"/>
        <n v="1.0918776246769426"/>
        <n v="3.6389303268792865"/>
        <n v="4.137952880027702"/>
        <n v="3.6897765392980237"/>
        <n v="3.5275885637703186"/>
        <n v="2.7599203343000607"/>
        <n v="0.9843761764451507"/>
        <n v="0.6355639747640578"/>
        <n v="1.4372025806317494"/>
        <n v="4.323406786213459"/>
        <n v="7.84276060184547"/>
        <n v="4.489728448278135"/>
        <n v="2.38741872149628"/>
        <n v="1.796810404215354"/>
        <n v="1.0957093650037468"/>
        <n v="3.932869058823225"/>
        <n v="4.026803774775391"/>
        <n v="0.8160907229513249"/>
        <n v="3.2065716288398933"/>
        <n v="0.9782462418622577"/>
        <n v="3.0126227803866468"/>
        <n v="2.239754097729268"/>
        <n v="8.911651037875192"/>
        <n v="0.837178522864467"/>
        <n v="0.3980375739418327"/>
        <n v="1.8073316028681958"/>
        <n v="3.887124085777428"/>
        <n v="4.800680460103922"/>
        <n v="4.479885183359672"/>
        <n v="3.795134652502265"/>
        <n v="2.6143920434966255"/>
        <n v="1.3370849319138742"/>
        <n v="1.5717766077392064"/>
        <n v="2.047737459074322"/>
        <n v="4.217776122191546"/>
        <n v="9.369617406043261"/>
        <n v="5.259773316138988"/>
        <n v="2.894259334368185"/>
        <n v="1.7783921183905036"/>
        <n v="1.4930208102268339"/>
        <n v="3.6072246121537317"/>
        <n v="4.47418215520333"/>
        <n v="0.8024274745826286"/>
        <n v="2.0733860981224272"/>
        <n v="0.9794293376621834"/>
        <n v="3.6699065201630896"/>
        <n v="2.0075339552712825"/>
        <n v="10.0"/>
        <n v="0.8179620006556829"/>
        <n v="0.5881031828553694"/>
        <n v="0.2979897184536719"/>
        <n v="9.319794351064782"/>
        <n v="4.7702044051917465"/>
        <n v="5.212176730946849"/>
        <n v="9.89906417840529"/>
        <n v="1.7987892724538843"/>
        <n v="4.435380930368553"/>
        <n v="4.427511974545259"/>
        <n v="3.787201302824789"/>
        <n v="3.6003804362832987"/>
        <n v="3.839719343127031"/>
        <n v="2.040570785811594"/>
        <n v="1.7591245468581354"/>
        <n v="3.6163643726549366"/>
        <n v="2.586693925842782"/>
        <n v="1.4834124305960292"/>
        <n v="2.8670472425485842"/>
        <n v="4.140478106756936"/>
        <n v="2.023503467842271"/>
        <n v="1.3177850519700214"/>
        <n v="0.5798751919712385"/>
        <n v="1.9785324832553806"/>
        <n v="0.29299399820910405"/>
        <n v="0.9778293607619932"/>
        <n v="0.8020096912060342"/>
        <n v="0.7881693708228701"/>
        <n v="1.5588912964783428"/>
      </sharedItems>
    </cacheField>
    <cacheField name="INN-1-2" numFmtId="2">
      <sharedItems containsSemiMixedTypes="0" containsString="0" containsNumber="1">
        <n v="6.545814074759489"/>
        <n v="0.0"/>
        <n v="4.925489741476374"/>
        <n v="10.0"/>
        <n v="1.2162940720232576"/>
        <n v="3.5979422191110153"/>
        <n v="2.4119880258156194"/>
        <n v="2.205103728621403"/>
        <n v="7.812828919442618"/>
        <n v="0.815445304303052"/>
        <n v="2.226133961140564"/>
        <n v="2.6035615797745395"/>
        <n v="2.632400906625048"/>
        <n v="1.3983172043608338"/>
        <n v="0.8824502307710878"/>
        <n v="1.443152441566467"/>
        <n v="5.757547016428023"/>
        <n v="6.846828358500029"/>
        <n v="2.793215982950298"/>
        <n v="2.7648233735200516"/>
        <n v="0.8632702571894648"/>
        <n v="2.213771087798532"/>
        <n v="9.403139214477678"/>
        <n v="4.80243508121203"/>
        <n v="0.868434913429481"/>
        <n v="3.3091883653915795"/>
        <n v="1.2015806672470928"/>
        <n v="2.6909180942548327"/>
        <n v="3.3245839551039262"/>
        <n v="1.4316163021535888"/>
        <n v="5.6352598575243675"/>
        <n v="6.723487067229002"/>
        <n v="2.7319644622503727"/>
        <n v="2.7386057542093596"/>
        <n v="0.8514522256796354"/>
        <n v="2.151109473871449"/>
        <n v="9.29699725601443"/>
        <n v="4.73808476930116"/>
        <n v="0.8537089483245163"/>
        <n v="3.2324406566240755"/>
        <n v="1.1899810857070765"/>
        <n v="2.639873644836215"/>
        <n v="3.268967993583212"/>
        <n v="4.875014571880659"/>
        <n v="7.143516539320053"/>
        <n v="2.349522149855064"/>
        <n v="2.73072847909972"/>
        <n v="1.2592147641154887"/>
        <n v="2.103744092887533"/>
        <n v="7.5385117144561455"/>
        <n v="4.573933024391332"/>
        <n v="0.8432912570048272"/>
        <n v="3.203305430041683"/>
        <n v="1.773605888921232"/>
        <n v="1.3036284098410402"/>
        <n v="4.009834285229321"/>
        <n v="8.17893212785422"/>
        <n v="7.498425586354159"/>
        <n v="7.098167509296581"/>
        <n v="4.5325427248910515"/>
        <n v="8.129861551545636"/>
        <n v="2.3261814337684585"/>
        <n v="1.290030265803136"/>
        <n v="2.7250201641431855"/>
        <n v="1.7702407337302541"/>
        <n v="4.815562183405974"/>
        <n v="3.951332757301177"/>
        <n v="1.2458740416424812"/>
        <n v="3.182690463100544"/>
        <n v="0.8353625552317047"/>
        <n v="2.0733780275343006"/>
      </sharedItems>
    </cacheField>
    <cacheField name="INN-1-3" numFmtId="2">
      <sharedItems containsSemiMixedTypes="0" containsString="0" containsNumber="1">
        <n v="4.727586251497745"/>
        <n v="3.4561928822748667"/>
        <n v="4.865892461339384"/>
        <n v="10.0"/>
        <n v="2.255520335061215"/>
        <n v="4.196748915009362"/>
        <n v="3.468170853268423"/>
        <n v="1.8882384296704293"/>
        <n v="2.442145707846883"/>
        <n v="3.721161960628298"/>
        <n v="6.390936002762824"/>
        <n v="3.763578269158333"/>
        <n v="0.9980376583857586"/>
        <n v="2.815424118056498"/>
        <n v="2.5749852098391917"/>
        <n v="3.8209438428949696"/>
        <n v="0.819652614950547"/>
        <n v="0.5723694363055544"/>
        <n v="2.603004105832463"/>
        <n v="1.1668804714512127"/>
        <n v="0.9946161059681407"/>
        <n v="3.375664489503894"/>
        <n v="2.2429388281015052"/>
        <n v="2.5364720204158537"/>
        <n v="0.09386954612885187"/>
        <n v="0.5812030967381879"/>
        <n v="0.0"/>
        <n v="3.0036733943561025"/>
        <n v="4.844517651520274"/>
        <n v="0.43721497172450546"/>
        <n v="4.121365071378572"/>
        <n v="5.142000661811279"/>
        <n v="5.68503564613665"/>
        <n v="5.3092911365295015"/>
        <n v="3.9991726330900583"/>
        <n v="3.56993080201981"/>
        <n v="1.8145257571207465"/>
        <n v="1.881854513934503"/>
        <n v="3.0571536364607024"/>
        <n v="3.4488394295390967"/>
        <n v="7.751704285066956"/>
        <n v="5.7543177919399895"/>
        <n v="3.542975201753431"/>
        <n v="2.49215040564863"/>
        <n v="4.7661127480394665"/>
        <n v="3.531753266809938"/>
        <n v="5.6138545758220015"/>
        <n v="0.3923915749456768"/>
        <n v="2.224033033910278"/>
        <n v="4.63773256762285"/>
        <n v="0.8552991701732979"/>
        <n v="3.52956311623891"/>
        <n v="4.484490787482498"/>
        <n v="8.389235752575651"/>
        <n v="1.2355279662236298"/>
        <n v="1.833920701321485"/>
        <n v="0.601576673985895"/>
        <n v="0.4298139842621626"/>
        <n v="4.088420081878238"/>
        <n v="5.032787371807837"/>
        <n v="5.5826233172740745"/>
        <n v="5.192865425830404"/>
        <n v="3.96125021581875"/>
        <n v="3.521059021305928"/>
        <n v="1.763164930755218"/>
        <n v="1.8543911422706716"/>
        <n v="3.0551475964821884"/>
        <n v="3.3112919963531606"/>
        <n v="7.664203605189945"/>
        <n v="5.677212711187466"/>
        <n v="3.482897320979683"/>
        <n v="2.4465331591600226"/>
        <n v="4.6555756033531335"/>
        <n v="3.4976591263878563"/>
        <n v="5.50736448362974"/>
        <n v="0.3764855478437503"/>
        <n v="2.1430041997625966"/>
        <n v="4.405043680166482"/>
        <n v="0.8616132028354049"/>
        <n v="3.4705181202007394"/>
        <n v="4.356634762834552"/>
        <n v="1.206055403314822"/>
        <n v="1.7855880333873282"/>
        <n v="0.5797343693384507"/>
        <n v="0.6720686894783312"/>
        <n v="4.956872726689545"/>
        <n v="5.547472559640509"/>
        <n v="6.759092331222406"/>
        <n v="6.678660732624645"/>
        <n v="4.928880322330878"/>
        <n v="4.351094513923809"/>
        <n v="2.4031549748506182"/>
        <n v="2.980892054283295"/>
        <n v="4.167355582938821"/>
        <n v="3.384217675480246"/>
        <n v="9.148851033134878"/>
        <n v="6.7421989036496175"/>
        <n v="0.24871753522918136"/>
        <n v="0.13000558459184716"/>
        <n v="4.675810941358331"/>
        <n v="4.215925874109552"/>
        <n v="5.385848787812284"/>
        <n v="4.407274262659856"/>
        <n v="7.880968167634254"/>
        <n v="2.8680317227278147"/>
        <n v="4.61277320260828"/>
        <n v="0.8573071289550515"/>
        <n v="0.2783867874434841"/>
        <n v="4.000523789832664"/>
        <n v="4.286552691761202"/>
        <n v="1.8197639121787925"/>
        <n v="2.4022800644203595"/>
        <n v="0.9129198509450254"/>
        <n v="9.100201906040343"/>
        <n v="6.716183733002907"/>
        <n v="6.6811875966575"/>
        <n v="9.939701042205341"/>
        <n v="4.933444129200364"/>
        <n v="6.612313316402768"/>
        <n v="7.798761812285882"/>
        <n v="4.918576990645478"/>
        <n v="4.398912110754692"/>
        <n v="5.4798193272643925"/>
        <n v="4.152770668402935"/>
        <n v="4.170249415855744"/>
        <n v="3.9421580974946546"/>
        <n v="4.304996941040872"/>
        <n v="5.351187998469672"/>
        <n v="4.6318485378665555"/>
        <n v="3.3221960549544427"/>
        <n v="4.501796640915171"/>
        <n v="2.368467124143407"/>
        <n v="2.368670420658168"/>
        <n v="4.224627792504389"/>
        <n v="0.8976149867211847"/>
        <n v="0.8559066485426813"/>
        <n v="1.7842739541744976"/>
        <n v="2.817070489240386"/>
        <n v="2.9564549162285916"/>
        <n v="0.12760205059462812"/>
        <n v="0.6573585300702898"/>
        <n v="0.24222344816949945"/>
        <n v="0.26979515088364664"/>
      </sharedItems>
    </cacheField>
    <cacheField name="INN-1-4" numFmtId="2">
      <sharedItems containsSemiMixedTypes="0" containsString="0" containsNumber="1">
        <n v="9.596412556053814"/>
        <n v="7.219730941704037"/>
        <n v="5.739910313901345"/>
        <n v="5.9192825112107625"/>
        <n v="6.09865470852018"/>
        <n v="6.771300448430493"/>
        <n v="7.354260089686099"/>
        <n v="2.9596412556053813"/>
        <n v="4.349775784753363"/>
        <n v="10.0"/>
        <n v="6.233183856502241"/>
        <n v="0.0"/>
        <n v="6.278026905829596"/>
        <n v="7.309417040358745"/>
        <n v="0.35874439461883406"/>
        <n v="3.901345291479821"/>
        <n v="5.022421524663677"/>
        <n v="7.488789237668161"/>
        <n v="7.040358744394619"/>
        <n v="5.47085201793722"/>
        <n v="4.5291479820627805"/>
        <n v="5.246636771300448"/>
        <n v="7.713004484304933"/>
        <n v="5.605381165919282"/>
        <n v="4.125560538116592"/>
        <n v="7.757847533632287"/>
        <n v="1.4798206278026906"/>
        <n v="2.780269058295964"/>
        <n v="4.573991031390134"/>
        <n v="4.663677130044843"/>
        <n v="5.426008968609866"/>
        <n v="2.6008968609865466"/>
        <n v="4.170403587443946"/>
        <n v="4.798206278026907"/>
        <n v="2.5112107623318387"/>
        <n v="3.811659192825112"/>
        <n v="2.6457399103139014"/>
        <n v="3.8565022421524664"/>
        <n v="2.5560538116591927"/>
        <n v="2.42152466367713"/>
        <n v="4.439461883408072"/>
        <n v="6.816143497757848"/>
        <n v="7.085201793721973"/>
        <n v="5.829596412556054"/>
        <n v="6.188340807174888"/>
        <n v="4.394618834080718"/>
        <n v="4.932735426008969"/>
        <n v="4.2152466367713"/>
        <n v="8.699551569506726"/>
        <n v="2.914798206278027"/>
        <n v="6.636771300448431"/>
        <n v="1.210762331838565"/>
        <n v="3.4977578475336326"/>
        <n v="4.260089686098655"/>
        <n v="3.2286995515695067"/>
        <n v="3.452914798206278"/>
        <n v="6.681614349775785"/>
        <n v="4.84304932735426"/>
        <n v="3.6771300448430493"/>
        <n v="4.753363228699552"/>
        <n v="5.291479820627803"/>
        <n v="3.991031390134529"/>
        <n v="4.9775784753363235"/>
        <n v="4.618834080717489"/>
        <n v="2.2421524663677133"/>
        <n v="4.0807174887892375"/>
        <n v="2.10762331838565"/>
        <n v="2.825112107623318"/>
        <n v="1.704035874439462"/>
        <n v="4.4843049327354265"/>
      </sharedItems>
    </cacheField>
    <cacheField name="INN-1-5" numFmtId="2">
      <sharedItems containsSemiMixedTypes="0" containsString="0" containsNumber="1">
        <n v="2.663644091810711"/>
        <n v="3.5420799093227546"/>
        <n v="2.768489657126665"/>
        <n v="2.439784641541513"/>
        <n v="4.277415698498158"/>
        <n v="3.20204023802777"/>
        <n v="3.2558798526494757"/>
        <n v="2.3080192689147068"/>
        <n v="3.5279115896854627"/>
        <n v="2.7146500425049593"/>
        <n v="3.18645508642675"/>
        <n v="2.9540946443751777"/>
        <n v="0.9917823746103713"/>
        <n v="3.3833947293850946"/>
        <n v="3.8580334372343437"/>
        <n v="3.0603570416548598"/>
        <n v="5.920940776423916"/>
        <n v="0.0"/>
        <n v="2.3618588835364127"/>
        <n v="4.220742419948994"/>
        <n v="4.7223009351090965"/>
        <n v="1.932558798526495"/>
        <n v="2.1479172570133183"/>
        <n v="3.716350240861434"/>
        <n v="9.016718617172003"/>
        <n v="2.8138282799659957"/>
        <n v="2.983848115613488"/>
        <n v="2.8124114480022673"/>
        <n v="2.7429866817795414"/>
        <n v="3.3097194672711816"/>
        <n v="4.154151317653726"/>
        <n v="2.7713233210541226"/>
        <n v="1.9141399829980166"/>
        <n v="2.6877302351941057"/>
        <n v="6.073958628506659"/>
        <n v="4.628790025502976"/>
        <n v="3.061773873618589"/>
        <n v="4.1966562765656"/>
        <n v="2.6055539812978186"/>
        <n v="4.283083026353075"/>
        <n v="3.074525361292151"/>
        <n v="5.667327854916407"/>
        <n v="2.699064890903939"/>
        <n v="4.601870218192122"/>
        <n v="4.36950977614055"/>
        <n v="3.7035987531878725"/>
        <n v="1.4168319637291018"/>
        <n v="2.296684613204874"/>
        <n v="2.4241994899404933"/>
        <n v="2.9002550297534713"/>
        <n v="3.1581184471521677"/>
        <n v="3.047605553981298"/>
        <n v="3.536412581467838"/>
        <n v="4.1626523094361"/>
        <n v="3.13828279965996"/>
        <n v="2.1790875602153585"/>
        <n v="4.147067157835081"/>
        <n v="7.154590535562483"/>
        <n v="4.475772173420233"/>
        <n v="3.4173986965145935"/>
        <n v="3.2303768773023522"/>
        <n v="3.4599036554264666"/>
        <n v="3.0773590252196086"/>
        <n v="6.81212808160952"/>
        <n v="3.2105412298101443"/>
        <n v="4.250495891187305"/>
        <n v="3.4344006800793423"/>
        <n v="3.023519410597903"/>
        <n v="6.202890337206007"/>
        <n v="2.631056956644942"/>
        <n v="3.948710682913007"/>
        <n v="2.452536129215075"/>
        <n v="5.358458486823463"/>
        <n v="3.6299234910739586"/>
        <n v="3.828279965996033"/>
        <n v="3.2204590535562483"/>
        <n v="3.2728818362142253"/>
        <n v="3.981297818078776"/>
        <n v="4.329838481156135"/>
        <n v="4.657126664777557"/>
        <n v="2.6409747803910455"/>
        <n v="3.5973363559081895"/>
        <n v="3.200623406064041"/>
        <n v="5.505809011051289"/>
        <n v="2.938509492774157"/>
        <n v="4.339756304902239"/>
        <n v="5.913828279965998"/>
        <n v="1.7172003400396711"/>
        <n v="2.2853499574950407"/>
        <n v="2.5077925758005097"/>
        <n v="3.085860017001984"/>
        <n v="3.757438367809578"/>
        <n v="3.7786908472655147"/>
        <n v="0.7452536129215075"/>
      </sharedItems>
    </cacheField>
    <cacheField name="INN-1" numFmtId="2">
      <sharedItems containsSemiMixedTypes="0" containsString="0" containsNumber="1">
        <n v="5.372347214545848"/>
        <n v="3.104762881545401"/>
        <n v="4.3685907286686945"/>
        <n v="6.593401157084015"/>
        <n v="3.089303141185387"/>
        <n v="3.9770462484763556"/>
        <n v="3.799383446819432"/>
        <n v="2.529736627370159"/>
        <n v="2.8936109481861187"/>
        <n v="2.4322319155070655"/>
        <n v="5.650097822120717"/>
        <n v="3.7244471387628635"/>
        <n v="1.8906139649689622"/>
        <n v="2.1151118756735388"/>
        <n v="3.5483164916273893"/>
        <n v="3.9730184675624587"/>
        <n v="2.644344499375167"/>
        <n v="0.18622276618487768"/>
        <n v="1.9714948843070814"/>
        <n v="2.456470615458013"/>
        <n v="1.2286057422829264"/>
        <n v="2.969463200168546"/>
        <n v="2.133776598188884"/>
        <n v="3.1043401869232663"/>
        <n v="0.018773909225770373"/>
        <n v="0.11624061934763759"/>
        <n v="0.0"/>
        <n v="4.413326804221313"/>
        <n v="0.9689035303040548"/>
        <n v="0.08744299434490109"/>
        <n v="3.485400894441943"/>
        <n v="4.997443635924721"/>
        <n v="5.801156722811841"/>
        <n v="4.235140916084913"/>
        <n v="4.070507139173792"/>
        <n v="2.1229646821431882"/>
        <n v="2.856902350032964"/>
        <n v="2.1905550597549914"/>
        <n v="3.075494315564483"/>
        <n v="4.487881284190042"/>
        <n v="6.524674840394063"/>
        <n v="4.723171710456263"/>
        <n v="3.519343871351546"/>
        <n v="2.7700427503610014"/>
        <n v="2.9742634320038333"/>
        <n v="3.78024752798685"/>
        <n v="5.072706628441895"/>
        <n v="0.07847831498913535"/>
        <n v="1.5586563569892884"/>
        <n v="3.4870067773485087"/>
        <n v="0.17105983403465957"/>
        <n v="0.2027106691675186"/>
        <n v="4.0108169752149765"/>
        <n v="2.6106360164310365"/>
        <n v="7.125002010592031"/>
        <n v="2.7866776076207627"/>
        <n v="1.893539734027974"/>
        <n v="0.19206421372094581"/>
        <n v="0.08596279685243252"/>
        <n v="2.7909780541475095"/>
        <n v="4.507492488625085"/>
        <n v="5.393895839367595"/>
        <n v="3.9208459760917576"/>
        <n v="3.828509033397779"/>
        <n v="2.25731657978787"/>
        <n v="2.628165184012632"/>
        <n v="1.7059311276298676"/>
        <n v="2.987585589188066"/>
        <n v="3.037695607775194"/>
        <n v="6.442604109369757"/>
        <n v="4.508158166755097"/>
        <n v="2.9179484717746185"/>
        <n v="2.7732017617101685"/>
        <n v="2.8380352934530646"/>
        <n v="3.4147991769430357"/>
        <n v="4.00935470851208"/>
        <n v="0.07529710956875006"/>
        <n v="1.7252845555260659"/>
        <n v="2.564378192448431"/>
        <n v="0.17232264056708096"/>
        <n v="0.1956492483724515"/>
        <n v="3.633127661037566"/>
        <n v="2.722327709403654"/>
        <n v="6.972197557158236"/>
        <n v="1.2032239403135168"/>
        <n v="1.3803669768422329"/>
        <n v="0.11594687386769013"/>
        <n v="0.13441373789566624"/>
        <n v="2.725573140581261"/>
        <n v="4.805201948961983"/>
        <n v="5.7893219143041055"/>
        <n v="4.477054006475346"/>
        <n v="4.092401610667585"/>
        <n v="2.477470726194405"/>
        <n v="3.0341215212973744"/>
        <n v="2.2252750112637156"/>
        <n v="3.4805037888485684"/>
        <n v="3.937863951848649"/>
        <n v="6.949599792765165"/>
        <n v="4.904490384551463"/>
        <n v="0.04974350704583627"/>
        <n v="0.026001116918369434"/>
        <n v="3.4946669645179496"/>
        <n v="3.6307546434866502"/>
        <n v="3.2148664519156873"/>
        <n v="4.6474008291585545"/>
        <n v="4.781935741376677"/>
        <n v="1.5841910176995497"/>
        <n v="2.266264462529723"/>
        <n v="0.36734729332344696"/>
        <n v="0.05567735748869682"/>
        <n v="3.640308370671322"/>
        <n v="3.7191263385517344"/>
        <n v="7.014015754119564"/>
        <n v="1.9630272294633977"/>
        <n v="1.7343237856120621"/>
        <n v="0.24218191387973945"/>
        <n v="6.945959025697805"/>
        <n v="5.779218697668195"/>
        <n v="5.019447269169138"/>
        <n v="7.007233163526171"/>
        <n v="2.725964500010709"/>
        <n v="4.064777512319411"/>
        <n v="4.450193019882521"/>
        <n v="4.210423351879478"/>
        <n v="3.6835382671360666"/>
        <n v="4.474888505772256"/>
        <n v="2.7623789419883797"/>
        <n v="2.8291088798679116"/>
        <n v="3.6326786863442173"/>
        <n v="2.7286747839154852"/>
        <n v="3.039590570261623"/>
        <n v="3.30610337654031"/>
        <n v="3.491443986093323"/>
        <n v="2.132805022494849"/>
        <n v="2.3444220411971637"/>
        <n v="1.5127923013631133"/>
        <n v="2.4228264800770143"/>
        <n v="0.23812179698605773"/>
        <n v="0.3667472018609349"/>
        <n v="1.6095515775259144"/>
        <n v="1.476786141465754"/>
        <n v="1.5722993373229976"/>
        <n v="0.9223813966660108"/>
        <n v="0.13147170601405794"/>
        <n v="0.04844468963389989"/>
        <n v="0.05395903017672933"/>
      </sharedItems>
    </cacheField>
    <cacheField name="INN-2-1" numFmtId="2">
      <sharedItems containsSemiMixedTypes="0" containsString="0" containsNumber="1">
        <n v="4.737992782867137"/>
        <n v="3.259432421600328"/>
        <n v="4.558207219579002"/>
        <n v="0.9294133867250365"/>
        <n v="3.151673841875489"/>
        <n v="2.2641632813202444"/>
        <n v="2.678557904257959"/>
        <n v="2.6923113173092554"/>
        <n v="0.9083713560431141"/>
        <n v="0.0"/>
        <n v="2.892097643493572"/>
        <n v="3.0252579751423148"/>
        <n v="0.9055672921893458"/>
        <n v="0.3296217976612214"/>
        <n v="0.3212559917879926"/>
        <n v="1.7717154781936828"/>
        <n v="0.5773362459729044"/>
        <n v="0.34507943565525623"/>
        <n v="0.9526120077259428"/>
        <n v="0.3266591729101237"/>
        <n v="2.9004434908508"/>
        <n v="6.944807270245943"/>
        <n v="2.642797062300394"/>
        <n v="5.80825300330714"/>
        <n v="4.265138205646418"/>
        <n v="3.820927500637075"/>
        <n v="0.47933889931392293"/>
        <n v="1.3111649492948265"/>
        <n v="0.9391231234489212"/>
        <n v="0.8974387798209895"/>
        <n v="6.328704434029072"/>
        <n v="6.222059850042468"/>
        <n v="0.3214710820566807"/>
        <n v="4.441735638448842"/>
        <n v="5.337511396259787"/>
        <n v="4.980524954195353"/>
        <n v="2.8455307330393484"/>
        <n v="0.6153354643556279"/>
        <n v="0.5594865283466135"/>
        <n v="4.546956314897095"/>
        <n v="1.1905068894676674"/>
        <n v="9.009074817984478"/>
        <n v="2.8369879610256055"/>
        <n v="6.014727591065831"/>
        <n v="6.952682305710835"/>
        <n v="3.5819437703742723"/>
        <n v="0.4727768265808466"/>
        <n v="1.5925649222392413"/>
        <n v="2.690549698052685"/>
        <n v="8.134446416226096"/>
        <n v="5.859656012790252"/>
        <n v="0.6320398573004598"/>
        <n v="5.668562197841135"/>
        <n v="0.7977079836379543"/>
        <n v="5.285985185536433"/>
        <n v="4.886048591408477"/>
        <n v="0.7781588409391742"/>
        <n v="0.6050417031000594"/>
        <n v="0.5435351691514626"/>
        <n v="5.369328569603469"/>
        <n v="1.15913128303032"/>
        <n v="10.0"/>
        <n v="2.7068975208672668"/>
        <n v="5.801140940409132"/>
        <n v="9.691271119656491"/>
        <n v="2.9651357031506103"/>
        <n v="1.087630128450908"/>
        <n v="1.7132479760958024"/>
        <n v="2.3852989804353815"/>
        <n v="8.061597106364705"/>
        <n v="5.591319724050564"/>
        <n v="0.6243271630057368"/>
        <n v="4.315735650922565"/>
        <n v="1.185776903748539"/>
        <n v="3.720398202337835"/>
        <n v="4.825679265432473"/>
        <n v="0.7547424054509889"/>
        <n v="0.2968664079729724"/>
        <n v="6.1772141340590725"/>
        <n v="0.297749950432011"/>
        <n v="1.141749492217499"/>
        <n v="4.934602747878968"/>
        <n v="5.092149897598153"/>
        <n v="3.8628983730399646"/>
        <n v="2.620655963862987"/>
        <n v="8.381250630716963"/>
        <n v="8.856919116825674"/>
        <n v="2.865205571682328"/>
        <n v="1.8829601530221836"/>
        <n v="2.18431723311597"/>
        <n v="2.592859175841267"/>
        <n v="2.079832045444462"/>
        <n v="3.415182261675591"/>
        <n v="1.2298368634720138"/>
        <n v="1.9635763356250102"/>
        <n v="0.6184571817350738"/>
        <n v="1.4731688190064403"/>
        <n v="1.3815150932904303"/>
        <n v="0.281443896787032"/>
        <n v="2.847551778341411"/>
        <n v="0.2919430800100336"/>
      </sharedItems>
    </cacheField>
    <cacheField name="INN-2-2" numFmtId="2">
      <sharedItems containsSemiMixedTypes="0" containsString="0" containsNumber="1">
        <n v="6.373097033595664"/>
        <n v="4.706651739265403"/>
        <n v="3.3209661280184473"/>
        <n v="4.026245585706763"/>
        <n v="3.900897698232831"/>
        <n v="2.3078636727313606"/>
        <n v="3.570335403820153"/>
        <n v="0.0"/>
        <n v="1.311696967387976"/>
        <n v="4.872252921278931"/>
        <n v="1.307647872236658"/>
        <n v="0.3569827825653133"/>
        <n v="0.6958451090187047"/>
        <n v="1.3431464425746507"/>
        <n v="1.8686175796069606"/>
        <n v="0.707548477214428"/>
        <n v="4.628477739878416"/>
        <n v="1.2925921201394577"/>
        <n v="5.764275366896055"/>
        <n v="2.2396002022012698"/>
        <n v="3.39914701801798"/>
        <n v="0.3460849884787212"/>
        <n v="1.4200010901052154"/>
        <n v="0.6479551111317104"/>
        <n v="5.483226012170794"/>
        <n v="3.675564906617252"/>
        <n v="5.298849702152037"/>
        <n v="3.54907417902972"/>
        <n v="0.6664127428324919"/>
        <n v="1.9697545842076432"/>
        <n v="1.289327541688066"/>
        <n v="6.887218559571437"/>
        <n v="1.8073402405549452"/>
        <n v="5.480739216717598"/>
        <n v="3.2857331116228377"/>
        <n v="2.4885888918329697"/>
        <n v="0.682694280870712"/>
        <n v="0.34495185779017434"/>
        <n v="1.2950598732055845"/>
        <n v="8.809664096539386"/>
        <n v="2.9355876137442785"/>
        <n v="0.9444759562382649"/>
        <n v="0.8639234956370243"/>
        <n v="3.8165067025719894"/>
        <n v="1.0583251679872319"/>
        <n v="3.3710065327872716"/>
        <n v="2.621058100808065"/>
        <n v="3.876681026324771"/>
        <n v="1.8830213006723704"/>
        <n v="5.959568939509916"/>
        <n v="2.3097372012355857"/>
        <n v="5.550068418101306"/>
        <n v="3.76769309212806"/>
        <n v="1.605631668634926"/>
        <n v="0.6730921531648832"/>
        <n v="0.3373563465603642"/>
        <n v="1.9374719906142088"/>
        <n v="5.372780165482674"/>
        <n v="3.1556516015443963"/>
        <n v="1.8695891259789836"/>
        <n v="0.8561366220424058"/>
        <n v="2.8441539298782064"/>
        <n v="3.1357472548809318"/>
        <n v="4.9043487887566215"/>
        <n v="2.572067675628209"/>
        <n v="1.9114192652865822"/>
        <n v="1.2365229290547217"/>
        <n v="1.879624852741921"/>
        <n v="7.348289219342893"/>
        <n v="6.5736833676596405"/>
        <n v="3.2116116689160017"/>
        <n v="3.7842523957824326"/>
        <n v="10.0"/>
        <n v="3.9967113493329838"/>
        <n v="5.1717304744311825"/>
        <n v="2.7675663514631497"/>
        <n v="3.3118838292312884"/>
        <n v="3.1590958219517744"/>
        <n v="3.21781870754954"/>
        <n v="3.698667003793486"/>
        <n v="2.5345424618025127"/>
        <n v="0.665961093499744"/>
        <n v="0.8506269294620536"/>
        <n v="0.6697935852537278"/>
        <n v="3.190904897241538"/>
        <n v="1.8288346121027081"/>
        <n v="1.1345415316468908"/>
        <n v="1.8481134302077384"/>
        <n v="9.64246923332404"/>
      </sharedItems>
    </cacheField>
    <cacheField name="INN-2-3" numFmtId="2">
      <sharedItems containsSemiMixedTypes="0" containsString="0" containsNumber="1">
        <n v="5.484396361529868"/>
        <n v="2.4159860879536854"/>
        <n v="7.555947549922481"/>
        <n v="0.826689873023891"/>
        <n v="2.60309655759906"/>
        <n v="2.1323820633368635"/>
        <n v="1.8937900049192438"/>
        <n v="0.0"/>
        <n v="2.154596040073278"/>
        <n v="1.4291379127603805"/>
        <n v="0.44848183579312745"/>
        <n v="0.26849312354341226"/>
        <n v="1.1727612532659957"/>
        <n v="0.28574913902972465"/>
        <n v="0.4727689307973283"/>
        <n v="0.29106500884665887"/>
        <n v="0.6138789884449919"/>
        <n v="2.851030018132134"/>
        <n v="0.530803595023225"/>
        <n v="4.414834097599404"/>
        <n v="1.8393858669274845"/>
        <n v="2.063447299227314"/>
        <n v="1.2790797490195995"/>
        <n v="0.2915620758555397"/>
        <n v="5.32166175305599"/>
        <n v="1.407305925355974"/>
        <n v="7.906237173510524"/>
        <n v="3.75850271740261"/>
        <n v="1.4574290713065983"/>
        <n v="0.547325446524632"/>
        <n v="0.8088806966408634"/>
        <n v="0.27768707322683417"/>
        <n v="0.26473149713176536"/>
        <n v="0.8216328795030604"/>
        <n v="3.2996130023286647"/>
        <n v="0.8164036824814638"/>
        <n v="4.150822641609302"/>
        <n v="2.02393189711084"/>
        <n v="3.065820786940787"/>
        <n v="2.102615586977696"/>
        <n v="0.4249639543026379"/>
        <n v="8.386001769753209"/>
        <n v="3.617692929217009"/>
        <n v="8.296679974364029"/>
        <n v="0.7756990394312178"/>
        <n v="0.3547706118305043"/>
        <n v="3.134500739393153"/>
        <n v="1.3038052649057756"/>
        <n v="1.3843055040883347"/>
        <n v="0.5381694043297912"/>
        <n v="2.3879414783715798"/>
        <n v="0.27106306312072925"/>
        <n v="0.7732636307533469"/>
        <n v="1.5836013589769282"/>
        <n v="2.340723403520287"/>
        <n v="1.2403392582436932"/>
        <n v="3.7560199970202506"/>
        <n v="2.2102929090931482"/>
        <n v="2.877178650863698"/>
        <n v="2.7640562642707156"/>
        <n v="1.1082844078537166"/>
        <n v="5.716627516435451"/>
        <n v="3.0337104034411015"/>
        <n v="5.28855011119861"/>
        <n v="0.7677477015556196"/>
        <n v="0.351572928328017"/>
        <n v="4.8664717561738975"/>
        <n v="1.7169282199610179"/>
        <n v="1.342648841171929"/>
        <n v="0.7921656497019256"/>
        <n v="1.569850538004681"/>
        <n v="1.0155575078085437"/>
        <n v="2.3156066331800838"/>
        <n v="3.84055459622941"/>
        <n v="3.7140583793611097"/>
        <n v="4.928333927307545"/>
        <n v="1.5540051226212412"/>
        <n v="2.795592004047591"/>
        <n v="2.5165856290972544"/>
        <n v="2.1237736835522907"/>
        <n v="2.751532354941211"/>
        <n v="4.46865927726556"/>
        <n v="1.4414269617944444"/>
        <n v="7.110716127776437"/>
        <n v="1.139144579224775"/>
        <n v="0.5204055593030537"/>
        <n v="2.5980339057789372"/>
        <n v="0.3493103703381012"/>
        <n v="0.6551733390770963"/>
        <n v="0.9557512146380651"/>
        <n v="2.253035520676751"/>
        <n v="6.830358267952461"/>
        <n v="0.25967603995260696"/>
        <n v="1.020779191430702"/>
      </sharedItems>
    </cacheField>
    <cacheField name="INN-2-4" numFmtId="2">
      <sharedItems containsSemiMixedTypes="0" containsString="0" containsNumber="1">
        <n v="7.919238412378843"/>
        <n v="1.7910709003728416"/>
        <n v="7.476102299777515"/>
        <n v="1.7391960537894324"/>
        <n v="3.1527823962753803"/>
        <n v="2.555585456811552"/>
        <n v="4.757338420196754"/>
        <n v="1.3194966421751584"/>
        <n v="1.776267397572202"/>
        <n v="0.6909992708135244"/>
        <n v="3.5220529166580894"/>
        <n v="1.2804904600125677"/>
        <n v="0.8248716337057326"/>
        <n v="1.4588184938574704"/>
        <n v="0.6727278726419595"/>
        <n v="2.5812618300154395"/>
        <n v="0.4762680553032842"/>
        <n v="0.49491291408528915"/>
        <n v="0.5316056476952563"/>
        <n v="1.3529821865797462"/>
        <n v="0.6265849724982198"/>
        <n v="0.2406862817669235"/>
        <n v="0.3819872685963844"/>
        <n v="0.616123326828672"/>
        <n v="0.22262824255419256"/>
        <n v="3.575292465177532"/>
        <n v="0.33784244368595645"/>
        <n v="0.04509523369071421"/>
        <n v="0.0"/>
        <n v="0.9894087601259022"/>
        <n v="0.07978910443467577"/>
        <n v="0.23330985476327232"/>
        <n v="2.1738845755104017"/>
        <n v="2.7778437748666382"/>
        <n v="8.510041898365676"/>
        <n v="2.8312633135542487"/>
        <n v="4.960238274790022"/>
        <n v="1.6231049192570866"/>
        <n v="1.423941943480051"/>
        <n v="0.3765783696746793"/>
        <n v="2.0747679506575585"/>
        <n v="0.2186855906138161"/>
        <n v="0.9250662451475195"/>
        <n v="3.5011455310399002"/>
        <n v="8.120984999492148"/>
        <n v="0.4539252969908827"/>
        <n v="0.6922755398718379"/>
        <n v="1.5370135654672679"/>
        <n v="0.9096308959084722"/>
        <n v="3.4019965668732377"/>
        <n v="1.242663307108"/>
        <n v="0.6593359962589207"/>
        <n v="0.23117795205099623"/>
        <n v="4.437329226984323"/>
        <n v="0.0438353259966332"/>
        <n v="0.836184499681793"/>
        <n v="0.48193303856037867"/>
        <n v="2.21494883297993"/>
        <n v="0.5007428966711267"/>
        <n v="0.839836209599542"/>
        <n v="0.7545288992893779"/>
        <n v="0.28032948244781863"/>
        <n v="2.235211818178731"/>
        <n v="2.7287576304383308"/>
        <n v="8.073663191657287"/>
        <n v="2.804848225943102"/>
        <n v="4.833908720950753"/>
        <n v="1.7530157453930837"/>
        <n v="1.4191146022719798"/>
        <n v="0.3710826676156967"/>
        <n v="2.3397970923192806"/>
        <n v="0.34998306697452997"/>
        <n v="1.2153939931649038"/>
        <n v="3.0899067474036848"/>
        <n v="7.979015556216481"/>
        <n v="0.3959148174568332"/>
        <n v="0.6007496314490104"/>
        <n v="1.3599343118561456"/>
        <n v="0.9418465254136348"/>
        <n v="3.3920522162054563"/>
        <n v="0.9868832155647322"/>
        <n v="0.6353142185812177"/>
        <n v="0.39293095678403994"/>
        <n v="4.895809245654361"/>
        <n v="1.1636547616804598"/>
        <n v="0.43590362700943863"/>
        <n v="2.39227062932124"/>
        <n v="0.3575467309898386"/>
        <n v="0.9295985966130211"/>
        <n v="0.9122215749503468"/>
        <n v="0.32376699998824565"/>
        <n v="2.6967119945664573"/>
        <n v="3.060177250282435"/>
        <n v="8.10165170877089"/>
        <n v="3.2642472457171268"/>
        <n v="4.96512512404694"/>
        <n v="1.728359495107635"/>
        <n v="1.4873308562120586"/>
        <n v="0.31269884833845163"/>
        <n v="2.847297725454715"/>
        <n v="0.4078145202548566"/>
        <n v="0.820868644214592"/>
        <n v="3.37997022370446"/>
        <n v="8.34836818792548"/>
        <n v="0.3468726601458937"/>
        <n v="0.6119631039014689"/>
        <n v="1.6344215820679866"/>
        <n v="1.3383991495859715"/>
        <n v="3.753976602125318"/>
        <n v="1.1825281025294268"/>
        <n v="0.5032125010300171"/>
        <n v="0.4707790354420066"/>
        <n v="4.108870672560416"/>
        <n v="1.4020298184116975"/>
        <n v="0.5051586773998064"/>
        <n v="2.909488625135591"/>
        <n v="0.37144973822831"/>
        <n v="1.0428335999143297"/>
        <n v="0.902146251501626"/>
        <n v="3.8154545775288176"/>
        <n v="8.25168742680431"/>
        <n v="9.249845254329301"/>
        <n v="3.4509563471460654"/>
        <n v="3.671976698125521"/>
        <n v="3.6812414664266035"/>
        <n v="1.7091912149071016"/>
        <n v="5.27733884349503"/>
        <n v="4.398903900483119"/>
        <n v="3.417561702598777"/>
        <n v="3.3271366934400577"/>
        <n v="1.9020162652731765"/>
        <n v="1.9072684756306189"/>
        <n v="1.9155282139099825"/>
        <n v="1.9188576407622684"/>
        <n v="0.7531692180789956"/>
        <n v="0.626752631402624"/>
        <n v="0.5797856533921192"/>
        <n v="1.9674014765908705"/>
        <n v="1.370991466743108"/>
        <n v="0.6378843998221756"/>
        <n v="1.381219977461947"/>
        <n v="0.4628007265052604"/>
        <n v="3.3832235056288527"/>
        <n v="0.5549798662040457"/>
        <n v="0.5965340407766386"/>
        <n v="0.5123975607781958"/>
        <n v="0.7565771179717508"/>
        <n v="0.5115606889044451"/>
        <n v="0.07180947228796912"/>
        <n v="0.10891278431384084"/>
      </sharedItems>
    </cacheField>
    <cacheField name="INN-2" numFmtId="2">
      <sharedItems containsSemiMixedTypes="0" containsString="0" containsNumber="1">
        <n v="6.128681147592879"/>
        <n v="3.043285287298065"/>
        <n v="5.727805799324361"/>
        <n v="1.8803862248112808"/>
        <n v="3.2021126234956903"/>
        <n v="2.314998618550005"/>
        <n v="3.225005433298527"/>
        <n v="1.0029519898711035"/>
        <n v="1.5377329402691426"/>
        <n v="0.1727498177033811"/>
        <n v="3.178885348547743"/>
        <n v="1.1885575677370026"/>
        <n v="0.8266449804187872"/>
        <n v="0.8295460818375002"/>
        <n v="0.49389452811959544"/>
        <n v="1.5422231703952756"/>
        <n v="0.19183326603748577"/>
        <n v="0.12372822852132229"/>
        <n v="0.2772354734170402"/>
        <n v="1.0451395475717387"/>
        <n v="0.15664624312455494"/>
        <n v="0.060171570441730875"/>
        <n v="0.3336498190805818"/>
        <n v="0.41258274423830593"/>
        <n v="0.05565706063854814"/>
        <n v="1.618933989007083"/>
        <n v="0.08446061092148911"/>
        <n v="0.011273808422678553"/>
        <n v="0.0"/>
        <n v="0.24735219003147554"/>
        <n v="0.019947276108668942"/>
        <n v="0.05832746369081808"/>
        <n v="4.149549900941723"/>
        <n v="1.8110091380824287"/>
        <n v="6.124351091542069"/>
        <n v="2.7938468970823553"/>
        <n v="3.560940023168098"/>
        <n v="0.9319021390173327"/>
        <n v="1.1116675146839081"/>
        <n v="0.3289253732809001"/>
        <n v="2.2354558986665616"/>
        <n v="0.054671397653454024"/>
        <n v="0.23126656128687986"/>
        <n v="4.180095475648936"/>
        <n v="6.481211732415597"/>
        <n v="0.11348132424772067"/>
        <n v="0.2534366554821296"/>
        <n v="1.4946873009790274"/>
        <n v="0.22740772397711806"/>
        <n v="4.449215095671917"/>
        <n v="1.5557970653258382"/>
        <n v="0.16483399906473017"/>
        <n v="1.3094203005968286"/>
        <n v="1.820714990005918"/>
        <n v="0.0109588314991583"/>
        <n v="0.6663145383486362"/>
        <n v="0.2603548917267481"/>
        <n v="2.385135107181383"/>
        <n v="0.19460749247449022"/>
        <n v="0.8961005344717603"/>
        <n v="0.3940404446981096"/>
        <n v="0.07008237061195466"/>
        <n v="5.357779549515827"/>
        <n v="2.047372378625086"/>
        <n v="5.929988160262505"/>
        <n v="3.766798885096904"/>
        <n v="3.4925655425246953"/>
        <n v="1.2527756099555845"/>
        <n v="0.9453988341510083"/>
        <n v="0.09277066690392417"/>
        <n v="3.67785210833269"/>
        <n v="0.08749576674363249"/>
        <n v="0.30384849829122595"/>
        <n v="5.912927547346545"/>
        <n v="6.2677347892787605"/>
        <n v="0.0989787043642083"/>
        <n v="0.30819737218736754"/>
        <n v="2.187167876341691"/>
        <n v="0.7395621541297794"/>
        <n v="3.907261210926758"/>
        <n v="2.058765559966554"/>
        <n v="0.15882855464530443"/>
        <n v="1.4816004586497054"/>
        <n v="1.2239523114135902"/>
        <n v="1.231980992479594"/>
        <n v="0.24485969904022534"/>
        <n v="3.506555425905265"/>
        <n v="0.15715244852764196"/>
        <n v="1.1862537027672646"/>
        <n v="0.6239557334818188"/>
        <n v="0.08094174999706141"/>
        <n v="5.249251084399164"/>
        <n v="2.3292878076572454"/>
        <n v="5.802220266075395"/>
        <n v="4.733376091648706"/>
        <n v="3.103267786674044"/>
        <n v="1.5632845102485353"/>
        <n v="1.1615548966804854"/>
        <n v="0.07817471208461291"/>
        <n v="3.2216740532349384"/>
        <n v="0.10195363006371415"/>
        <n v="0.205217161053648"/>
        <n v="4.962014474748235"/>
        <n v="5.595972406179763"/>
        <n v="0.08671816503647342"/>
        <n v="0.3090725667268014"/>
        <n v="2.1468735151312885"/>
        <n v="0.9329714009262333"/>
        <n v="3.7962501226288143"/>
        <n v="2.7152207107009625"/>
        <n v="0.12580312525750428"/>
        <n v="1.8681297677053865"/>
        <n v="1.027217668140104"/>
        <n v="1.2657823879287011"/>
        <n v="0.1262896693499516"/>
        <n v="3.141993140621482"/>
        <n v="0.16729992216508027"/>
        <n v="1.1091658822487735"/>
        <n v="1.2743444343559076"/>
        <n v="4.9847252852450215"/>
        <n v="5.907894767855804"/>
        <n v="5.3131723058982026"/>
        <n v="2.852467457353182"/>
        <n v="6.2122048332225175"/>
        <n v="4.762864390420629"/>
        <n v="2.9674752361432253"/>
        <n v="3.1698494257303933"/>
        <n v="3.5909410600239844"/>
        <n v="2.6527359155465655"/>
        <n v="3.9338758935526243"/>
        <n v="2.5387525274917566"/>
        <n v="1.240554124184046"/>
        <n v="1.6023400191651693"/>
        <n v="1.2705928190468585"/>
        <n v="0.5103549962669494"/>
        <n v="0.156688157850656"/>
        <n v="1.4747581771792984"/>
        <n v="1.0761669461298415"/>
        <n v="1.4335763740774"/>
        <n v="0.4431064828672666"/>
        <n v="2.514922918905537"/>
        <n v="2.5263174899573255"/>
        <n v="1.5576938209925661"/>
        <n v="0.2766497465416715"/>
        <n v="0.4043283080518352"/>
        <n v="0.12809939019454894"/>
        <n v="0.1891442794929377"/>
        <n v="0.12789017222611127"/>
        <n v="0.01795236807199228"/>
        <n v="0.02722819607846021"/>
      </sharedItems>
    </cacheField>
    <cacheField name="INN" numFmtId="2">
      <sharedItems containsSemiMixedTypes="0" containsString="0" containsNumber="1">
        <n v="5.750514181069364"/>
        <n v="3.0740240844217324"/>
        <n v="5.048198263996529"/>
        <n v="4.236893690947649"/>
        <n v="3.1457078823405387"/>
        <n v="3.1460224335131803"/>
        <n v="3.51219444005898"/>
        <n v="1.7663443086206314"/>
        <n v="2.2156719442276307"/>
        <n v="1.3024908666052233"/>
        <n v="4.41449158533423"/>
        <n v="2.456502353249933"/>
        <n v="1.3586294726938748"/>
        <n v="1.4723289787555194"/>
        <n v="2.0211055098734922"/>
        <n v="2.757620818978867"/>
        <n v="1.4180888827063263"/>
        <n v="0.15497549735309998"/>
        <n v="1.1243651788620608"/>
        <n v="1.7508050815148757"/>
        <n v="0.6926259927037406"/>
        <n v="1.5148173853051385"/>
        <n v="1.2337132086347329"/>
        <n v="1.7584614655807862"/>
        <n v="0.03721548493215925"/>
        <n v="0.8675873041773603"/>
        <n v="0.042230305460744556"/>
        <n v="0.005636904211339277"/>
        <n v="0.0"/>
        <n v="2.330339497126394"/>
        <n v="0.4944254032063619"/>
        <n v="0.07288522901785958"/>
        <n v="3.817475397691833"/>
        <n v="3.404226387003575"/>
        <n v="5.962753907176954"/>
        <n v="3.5144939065836347"/>
        <n v="3.815723581170945"/>
        <n v="1.5274334105802607"/>
        <n v="1.9842849323584364"/>
        <n v="1.2597402165179459"/>
        <n v="2.6554751071155227"/>
        <n v="0.027335698826727012"/>
        <n v="2.359573922738461"/>
        <n v="5.352385158021499"/>
        <n v="5.602191721435929"/>
        <n v="0.056740662123860336"/>
        <n v="1.8863902634168377"/>
        <n v="2.1323650256700146"/>
        <n v="1.6008355779904757"/>
        <n v="4.114731311829384"/>
        <n v="3.3142518468838666"/>
        <n v="0.039239157494567675"/>
        <n v="0.8617451780270092"/>
        <n v="2.3982135389726684"/>
        <n v="0.9958874120202887"/>
        <n v="0.10683475033333845"/>
        <n v="2.338565756781806"/>
        <n v="1.4354954540788922"/>
        <n v="4.755068558886707"/>
        <n v="1.4906425500476264"/>
        <n v="1.3948201342498674"/>
        <n v="0.29305232920952773"/>
        <n v="0.07802258373219359"/>
        <n v="4.074378801831669"/>
        <n v="3.277432433625086"/>
        <n v="5.66194199981505"/>
        <n v="3.8438224305943303"/>
        <n v="3.6605372879612377"/>
        <n v="1.7550460948717272"/>
        <n v="1.78678200908182"/>
        <n v="0.899350897266896"/>
        <n v="3.3327188487603774"/>
        <n v="0.043747883371816246"/>
        <n v="1.6707720530332097"/>
        <n v="6.177765828358151"/>
        <n v="5.387946478016929"/>
        <n v="0.04948935218210415"/>
        <n v="1.6130729219809932"/>
        <n v="2.4801848190259297"/>
        <n v="1.7887987237914222"/>
        <n v="3.661030193934897"/>
        <n v="3.0340601342393168"/>
        <n v="0.03764855478437503"/>
        <n v="0.9420565550856852"/>
        <n v="2.0229893255490685"/>
        <n v="0.6981374759903356"/>
        <n v="0.09782462418622576"/>
        <n v="2.43255432675858"/>
        <n v="1.4835937042219396"/>
        <n v="5.2393764915317504"/>
        <n v="0.6801881944205792"/>
        <n v="1.2833103398047485"/>
        <n v="0.3699513036747545"/>
        <n v="0.10767774394636384"/>
        <n v="3.9874121124902127"/>
        <n v="3.5672448783096145"/>
        <n v="5.795771090189749"/>
        <n v="4.605215049062026"/>
        <n v="3.5978346986708143"/>
        <n v="2.02037761822147"/>
        <n v="2.09783820898893"/>
        <n v="1.1517248616741642"/>
        <n v="3.351088921041754"/>
        <n v="0.050976815031857074"/>
        <n v="2.0715405564511484"/>
        <n v="5.9558071337567"/>
        <n v="5.2502313953656135"/>
        <n v="0.024871753522918136"/>
        <n v="0.056359640977421424"/>
        <n v="1.9018697656223753"/>
        <n v="2.8888140793089696"/>
        <n v="2.0739189264209603"/>
        <n v="4.221825475893684"/>
        <n v="3.74857822603882"/>
        <n v="0.854997071478527"/>
        <n v="2.0671971151175548"/>
        <n v="0.6972824807317755"/>
        <n v="0.02783867874434841"/>
        <n v="2.4530453793000118"/>
        <n v="1.9227080039508428"/>
        <n v="5.078004447370523"/>
        <n v="1.065163575814239"/>
        <n v="1.421744833930418"/>
        <n v="0.7582631741178236"/>
        <n v="5.965342155471413"/>
        <n v="5.843556732762"/>
        <n v="5.16630978753367"/>
        <n v="4.929850310439676"/>
        <n v="4.469084666616613"/>
        <n v="4.41382095137002"/>
        <n v="3.7088341280128736"/>
        <n v="3.6901363888049357"/>
        <n v="3.6372396635800253"/>
        <n v="3.5638122106594103"/>
        <n v="3.3481274177705025"/>
        <n v="2.6839307036798346"/>
        <n v="2.436616405264132"/>
        <n v="2.165507401540327"/>
        <n v="2.1550916946542404"/>
        <n v="1.9082291864036294"/>
        <n v="1.8240660719719894"/>
        <n v="1.8037815998370736"/>
        <n v="1.7102944936635025"/>
        <n v="1.4731843377202567"/>
        <n v="1.4329664814721403"/>
        <n v="1.3765223579457972"/>
        <n v="1.2631587449786628"/>
        <n v="0.9622205114267506"/>
        <n v="0.943100662033793"/>
        <n v="0.9405572247587946"/>
        <n v="0.8501993637587734"/>
        <n v="0.5557628380794742"/>
        <n v="0.1296809391200846"/>
        <n v="0.03319852885294608"/>
        <n v="0.026979515088364665"/>
        <n v="0.013614098039230105"/>
      </sharedItems>
    </cacheField>
    <cacheField name="Puntaje general" numFmtId="2">
      <sharedItems containsSemiMixedTypes="0" containsString="0" containsNumber="1">
        <n v="7.096983850199163"/>
        <n v="5.194490030233315"/>
        <n v="6.336382772625715"/>
        <n v="6.199191018298307"/>
        <n v="5.772318339343931"/>
        <n v="5.872891260469042"/>
        <n v="6.017328173279534"/>
        <n v="5.070143617096836"/>
        <n v="5.2374750816550915"/>
        <n v="5.0753119695548365"/>
        <n v="5.793851293942616"/>
        <n v="5.486460760035094"/>
        <n v="4.543916690324485"/>
        <n v="5.310087567768863"/>
        <n v="4.816537675432554"/>
        <n v="5.745094290518561"/>
        <n v="4.500518380879848"/>
        <n v="4.4103799125240775"/>
        <n v="4.378391869075181"/>
        <n v="4.653853713048742"/>
        <n v="3.828976008552219"/>
        <n v="3.9141118121900464"/>
        <n v="4.517527743227539"/>
        <n v="4.602175256294856"/>
        <n v="3.6061964449875896"/>
        <n v="4.937205428079564"/>
        <n v="3.92160285108182"/>
        <n v="3.4128129090861465"/>
        <n v="2.9113384262259236"/>
        <n v="2.568007903590149"/>
        <n v="3.424465353891092"/>
        <n v="2.5254100807350492"/>
        <n v="3.4328613132861054"/>
        <n v="5.319128374736435"/>
        <n v="5.736749666646289"/>
        <n v="7.007646836666625"/>
        <n v="5.884968486399707"/>
        <n v="6.031521797763181"/>
        <n v="5.214004695435889"/>
        <n v="4.594702689111125"/>
        <n v="4.3465092954885955"/>
        <n v="5.209068652132562"/>
        <n v="2.3179287076566926"/>
        <n v="3.3564547642429963"/>
        <n v="5.763184192997124"/>
        <n v="6.3553584027506655"/>
        <n v="2.953398608006829"/>
        <n v="3.9401872349256726"/>
        <n v="4.593677738192766"/>
        <n v="5.18594105009246"/>
        <n v="5.0461434814877055"/>
        <n v="5.874355333804189"/>
        <n v="5.575975119456804"/>
        <n v="2.841369188265379"/>
        <n v="3.687351788728895"/>
        <n v="3.9331101389886287"/>
        <n v="4.842438497286242"/>
        <n v="3.305792839353466"/>
        <n v="4.8370126674185325"/>
        <n v="4.36640114375142"/>
        <n v="6.270664077715096"/>
        <n v="4.474741519603281"/>
        <n v="4.518714864951697"/>
        <n v="4.394025396269952"/>
        <n v="3.427428808717075"/>
        <n v="5.2867736260276645"/>
        <n v="5.669462943417085"/>
        <n v="6.885687825139425"/>
        <n v="5.802659282268337"/>
        <n v="5.958774716405727"/>
        <n v="5.1910869284731165"/>
        <n v="4.510113176703897"/>
        <n v="4.424488390374556"/>
        <n v="5.304678637853797"/>
        <n v="2.764338912067679"/>
        <n v="3.2167146980303754"/>
        <n v="5.7245014870767434"/>
        <n v="6.298497951283029"/>
        <n v="2.3112211424939515"/>
        <n v="3.759512186814324"/>
        <n v="4.4829149547422835"/>
        <n v="5.13036664824098"/>
        <n v="5.053233102347089"/>
        <n v="5.75723827364743"/>
        <n v="5.399138635971854"/>
        <n v="2.882471634320437"/>
        <n v="3.671023931618062"/>
        <n v="3.7068149339133525"/>
        <n v="4.726915026815412"/>
        <n v="3.3590438491892716"/>
        <n v="4.777827656642034"/>
        <n v="4.280313984588921"/>
        <n v="6.030452009901673"/>
        <n v="4.331555263999397"/>
        <n v="4.37694671648107"/>
        <n v="4.312254657871541"/>
        <n v="3.7353159826477507"/>
        <n v="5.488893384690401"/>
        <n v="5.859361089736317"/>
        <n v="7.191374955132107"/>
        <n v="6.011654641467176"/>
        <n v="6.250430599081493"/>
        <n v="5.297643302126199"/>
        <n v="4.57475850096827"/>
        <n v="4.2221488846575035"/>
        <n v="5.392749426809717"/>
        <n v="2.564483388743788"/>
        <n v="3.2398152052101987"/>
        <n v="5.893837758390936"/>
        <n v="6.4885316325833555"/>
        <n v="2.307713674795407"/>
        <n v="3.7360352962931676"/>
        <n v="4.774995175411662"/>
        <n v="5.269390287189196"/>
        <n v="5.349908456084233"/>
        <n v="5.993032603877152"/>
        <n v="5.683944627181694"/>
        <n v="2.9416428626212907"/>
        <n v="3.639154952786005"/>
        <n v="3.91270247280413"/>
        <n v="4.2964999487570115"/>
        <n v="3.150992455807306"/>
        <n v="4.98530877379756"/>
        <n v="4.358645701622362"/>
        <n v="6.346575507913528"/>
        <n v="4.217582446879167"/>
        <n v="4.796484747350575"/>
        <n v="4.30384884910467"/>
        <n v="6.248357890238219"/>
        <n v="7.313102204826668"/>
        <n v="6.771603368509888"/>
        <n v="6.494621772278322"/>
        <n v="5.717065748919772"/>
        <n v="6.230501857102796"/>
        <n v="5.85615690870501"/>
        <n v="6.262824536182614"/>
        <n v="6.149652672727877"/>
        <n v="5.957955857403755"/>
        <n v="5.375856660715266"/>
        <n v="5.449504457301569"/>
        <n v="5.224852439022689"/>
        <n v="5.519603949249091"/>
        <n v="5.4427108061323555"/>
        <n v="4.857019376725027"/>
        <n v="3.3038350365107325"/>
        <n v="4.11262004053501"/>
        <n v="4.870703285280185"/>
        <n v="4.88765093756581"/>
        <n v="4.459288269797553"/>
        <n v="4.6808482702457095"/>
        <n v="2.526129907373491"/>
        <n v="4.470845236301154"/>
        <n v="4.581564908613289"/>
        <n v="4.081120179347301"/>
        <n v="4.262998288863425"/>
        <n v="3.8442520995212703"/>
        <n v="4.034101239109039"/>
        <n v="2.792834470860423"/>
        <n v="3.4682557123260045"/>
        <n v="3.235958363878065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F35" firstHeaderRow="0" firstDataRow="1" firstDataCol="1"/>
  <pivotFields>
    <pivotField name="Ciudad o AM" axis="axisRow" compact="0" outline="0" multipleItemSelectionAllowed="1" showAll="0" sortType="ascending">
      <items>
        <item x="24"/>
        <item x="1"/>
        <item x="15"/>
        <item x="0"/>
        <item x="5"/>
        <item x="6"/>
        <item x="13"/>
        <item x="19"/>
        <item x="22"/>
        <item x="8"/>
        <item x="29"/>
        <item x="30"/>
        <item x="10"/>
        <item x="2"/>
        <item x="31"/>
        <item x="26"/>
        <item x="23"/>
        <item x="7"/>
        <item x="9"/>
        <item x="4"/>
        <item x="11"/>
        <item x="28"/>
        <item x="20"/>
        <item x="21"/>
        <item x="25"/>
        <item x="27"/>
        <item x="14"/>
        <item x="18"/>
        <item x="3"/>
        <item x="16"/>
        <item x="12"/>
        <item x="17"/>
        <item t="default"/>
      </items>
    </pivotField>
    <pivotField name="Año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TIC-1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TIC-1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TIC-1-3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IC-1-4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TIC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TIC-2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TIC-2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TIC-2-3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TIC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TIC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INN-1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NN-1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INN-1-3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INN-1-4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INN-1-5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INN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INN-2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INN-2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INN-2-3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INN-2-4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INN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name="INN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name="Puntaje general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</pivotFields>
  <rowFields>
    <field x="0"/>
  </rowFields>
  <colFields>
    <field x="1"/>
  </colFields>
  <dataFields>
    <dataField name="Máx. de INN" fld="23" subtotal="max" baseField="0"/>
  </dataFields>
</pivotTableDefinition>
</file>

<file path=xl/pivotTables/pivotTable2.xml><?xml version="1.0" encoding="utf-8"?>
<pivotTableDefinition xmlns="http://schemas.openxmlformats.org/spreadsheetml/2006/main" name="Gráficos" cacheId="1" dataCaption="" rowGrandTotals="0" colGrandTotals="0" compact="0" compactData="0">
  <location ref="A3:F36" firstHeaderRow="0" firstDataRow="1" firstDataCol="1"/>
  <pivotFields>
    <pivotField name="Ciudad o AM" axis="axisRow" compact="0" outline="0" multipleItemSelectionAllowed="1" showAll="0" sortType="ascending">
      <items>
        <item x="24"/>
        <item x="1"/>
        <item x="15"/>
        <item x="0"/>
        <item x="5"/>
        <item x="6"/>
        <item x="13"/>
        <item x="19"/>
        <item x="22"/>
        <item x="8"/>
        <item x="29"/>
        <item x="30"/>
        <item x="10"/>
        <item x="2"/>
        <item x="31"/>
        <item x="26"/>
        <item x="23"/>
        <item x="7"/>
        <item x="9"/>
        <item x="4"/>
        <item x="11"/>
        <item x="28"/>
        <item x="20"/>
        <item x="21"/>
        <item x="25"/>
        <item x="27"/>
        <item x="14"/>
        <item x="18"/>
        <item x="3"/>
        <item x="16"/>
        <item x="12"/>
        <item x="17"/>
        <item t="default"/>
      </items>
    </pivotField>
    <pivotField name="Año" axis="axisCol" compact="0" outline="0" multipleItemSelectionAllowed="1" showAll="0" sortType="ascending">
      <items>
        <item x="0"/>
        <item x="1"/>
        <item x="2"/>
        <item x="3"/>
        <item x="4"/>
        <item t="default"/>
      </items>
    </pivotField>
    <pivotField name="TIC-1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TIC-1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TIC-1-3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TIC-1-4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TIC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TIC-2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TIC-2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TIC-2-3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TIC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TIC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INN-1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INN-1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INN-1-3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INN-1-4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INN-1-5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INN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INN-2-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INN-2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INN-2-3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INN-2-4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INN-2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INN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Puntaje general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</pivotFields>
  <rowFields>
    <field x="0"/>
  </rowFields>
  <colFields>
    <field x="1"/>
  </col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0.43"/>
    <col customWidth="1" min="2" max="2" width="75.0"/>
    <col customWidth="1" min="3" max="3" width="7.71"/>
    <col customWidth="1" min="4" max="5" width="11.14"/>
    <col customWidth="1" min="6" max="7" width="11.43"/>
    <col customWidth="1" min="8" max="8" width="17.71"/>
    <col customWidth="1" min="9" max="9" width="21.0"/>
    <col customWidth="1" min="10" max="10" width="17.86"/>
    <col customWidth="1" min="11" max="12" width="11.43"/>
    <col customWidth="1" min="13" max="13" width="21.71"/>
    <col customWidth="1" min="14" max="16" width="11.43"/>
    <col customWidth="1" min="17" max="17" width="21.71"/>
    <col customWidth="1" min="18" max="27" width="11.43"/>
  </cols>
  <sheetData>
    <row r="1" ht="14.25" hidden="1" customHeight="1">
      <c r="A1" s="1" t="s">
        <v>0</v>
      </c>
      <c r="B1" s="2" t="s">
        <v>1</v>
      </c>
      <c r="C1" s="3"/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ht="14.25" hidden="1" customHeight="1">
      <c r="A2" s="5" t="s">
        <v>9</v>
      </c>
      <c r="B2" s="6"/>
      <c r="C2" s="7" t="s">
        <v>10</v>
      </c>
      <c r="D2" s="7" t="s">
        <v>11</v>
      </c>
      <c r="E2" s="7" t="s">
        <v>12</v>
      </c>
      <c r="F2" s="8">
        <f>1/13</f>
        <v>0.07692307692</v>
      </c>
      <c r="G2" s="9"/>
      <c r="H2" s="9"/>
      <c r="I2" s="10"/>
      <c r="J2" s="10"/>
    </row>
    <row r="3" ht="14.25" hidden="1" customHeight="1">
      <c r="A3" s="4" t="s">
        <v>13</v>
      </c>
      <c r="B3" s="11" t="s">
        <v>14</v>
      </c>
      <c r="C3" s="12"/>
      <c r="D3" s="12"/>
      <c r="E3" s="12"/>
      <c r="F3" s="10"/>
      <c r="G3" s="13">
        <f>$F$2/4</f>
        <v>0.01923076923</v>
      </c>
      <c r="H3" s="13">
        <f>G3/$F$2</f>
        <v>0.25</v>
      </c>
      <c r="I3" s="14"/>
      <c r="J3" s="14"/>
      <c r="L3" s="15" t="s">
        <v>15</v>
      </c>
      <c r="M3" s="16">
        <f t="shared" ref="M3:M8" si="1">COUNTIF(E:E,L3)</f>
        <v>0</v>
      </c>
      <c r="N3" s="17">
        <f t="shared" ref="N3:N8" si="2">M3/98</f>
        <v>0</v>
      </c>
    </row>
    <row r="4" ht="14.25" hidden="1" customHeight="1">
      <c r="A4" s="18" t="s">
        <v>16</v>
      </c>
      <c r="B4" s="19" t="s">
        <v>17</v>
      </c>
      <c r="C4" s="12" t="s">
        <v>18</v>
      </c>
      <c r="D4" s="12" t="s">
        <v>19</v>
      </c>
      <c r="E4" s="12" t="str">
        <f t="shared" ref="E4:E140" si="3">IFERROR(MID(D4,6,4),"")</f>
        <v>2022</v>
      </c>
      <c r="F4" s="10"/>
      <c r="G4" s="10"/>
      <c r="H4" s="10"/>
      <c r="I4" s="13">
        <f t="shared" ref="I4:I6" si="4">1/COUNTBLANK($H$4:$H$6)</f>
        <v>0.3333333333</v>
      </c>
      <c r="J4" s="13">
        <f t="shared" ref="J4:J6" si="5">I4*$H$3</f>
        <v>0.08333333333</v>
      </c>
      <c r="L4" s="15" t="s">
        <v>20</v>
      </c>
      <c r="M4" s="16">
        <f t="shared" si="1"/>
        <v>0</v>
      </c>
      <c r="N4" s="17">
        <f t="shared" si="2"/>
        <v>0</v>
      </c>
      <c r="R4" s="20"/>
      <c r="W4" s="20"/>
      <c r="AA4" s="20"/>
    </row>
    <row r="5" ht="14.25" hidden="1" customHeight="1">
      <c r="A5" s="18" t="s">
        <v>21</v>
      </c>
      <c r="B5" s="19" t="s">
        <v>22</v>
      </c>
      <c r="C5" s="12" t="s">
        <v>23</v>
      </c>
      <c r="D5" s="12" t="s">
        <v>24</v>
      </c>
      <c r="E5" s="12" t="str">
        <f t="shared" si="3"/>
        <v>2022</v>
      </c>
      <c r="F5" s="10"/>
      <c r="G5" s="10"/>
      <c r="H5" s="10"/>
      <c r="I5" s="13">
        <f t="shared" si="4"/>
        <v>0.3333333333</v>
      </c>
      <c r="J5" s="13">
        <f t="shared" si="5"/>
        <v>0.08333333333</v>
      </c>
      <c r="L5" s="15" t="s">
        <v>25</v>
      </c>
      <c r="M5" s="16">
        <f t="shared" si="1"/>
        <v>4</v>
      </c>
      <c r="N5" s="17">
        <f t="shared" si="2"/>
        <v>0.04081632653</v>
      </c>
      <c r="R5" s="20"/>
      <c r="W5" s="20"/>
      <c r="AA5" s="20"/>
    </row>
    <row r="6" ht="14.25" hidden="1" customHeight="1">
      <c r="A6" s="18" t="s">
        <v>26</v>
      </c>
      <c r="B6" s="19" t="s">
        <v>27</v>
      </c>
      <c r="C6" s="12" t="s">
        <v>18</v>
      </c>
      <c r="D6" s="12" t="s">
        <v>28</v>
      </c>
      <c r="E6" s="12" t="str">
        <f t="shared" si="3"/>
        <v>2023</v>
      </c>
      <c r="F6" s="10"/>
      <c r="G6" s="10"/>
      <c r="H6" s="10"/>
      <c r="I6" s="13">
        <f t="shared" si="4"/>
        <v>0.3333333333</v>
      </c>
      <c r="J6" s="13">
        <f t="shared" si="5"/>
        <v>0.08333333333</v>
      </c>
      <c r="L6" s="15" t="s">
        <v>29</v>
      </c>
      <c r="M6" s="16">
        <f t="shared" si="1"/>
        <v>36</v>
      </c>
      <c r="N6" s="17">
        <f t="shared" si="2"/>
        <v>0.3673469388</v>
      </c>
      <c r="R6" s="20"/>
      <c r="W6" s="20"/>
      <c r="AA6" s="20"/>
    </row>
    <row r="7" ht="14.25" hidden="1" customHeight="1">
      <c r="A7" s="4" t="s">
        <v>30</v>
      </c>
      <c r="B7" s="11" t="s">
        <v>31</v>
      </c>
      <c r="C7" s="12"/>
      <c r="D7" s="12"/>
      <c r="E7" s="12" t="str">
        <f t="shared" si="3"/>
        <v/>
      </c>
      <c r="F7" s="10"/>
      <c r="G7" s="13">
        <f>$F$2/4</f>
        <v>0.01923076923</v>
      </c>
      <c r="H7" s="13">
        <f>G7/$F$2</f>
        <v>0.25</v>
      </c>
      <c r="I7" s="21"/>
      <c r="J7" s="21"/>
      <c r="L7" s="15" t="s">
        <v>32</v>
      </c>
      <c r="M7" s="16">
        <f t="shared" si="1"/>
        <v>55</v>
      </c>
      <c r="N7" s="17">
        <f t="shared" si="2"/>
        <v>0.5612244898</v>
      </c>
      <c r="R7" s="20"/>
      <c r="W7" s="20"/>
      <c r="AA7" s="20"/>
    </row>
    <row r="8" ht="14.25" hidden="1" customHeight="1">
      <c r="A8" s="22" t="s">
        <v>33</v>
      </c>
      <c r="B8" s="19" t="s">
        <v>34</v>
      </c>
      <c r="C8" s="12" t="s">
        <v>18</v>
      </c>
      <c r="D8" s="12" t="s">
        <v>35</v>
      </c>
      <c r="E8" s="12" t="str">
        <f t="shared" si="3"/>
        <v>2022</v>
      </c>
      <c r="F8" s="10"/>
      <c r="G8" s="10"/>
      <c r="H8" s="10"/>
      <c r="I8" s="13">
        <f t="shared" ref="I8:I10" si="6">1/COUNTBLANK($H$8:$H$10)</f>
        <v>0.3333333333</v>
      </c>
      <c r="J8" s="13">
        <f t="shared" ref="J8:J10" si="7">I8*$H$7</f>
        <v>0.08333333333</v>
      </c>
      <c r="L8" s="15" t="s">
        <v>36</v>
      </c>
      <c r="M8" s="16">
        <f t="shared" si="1"/>
        <v>3</v>
      </c>
      <c r="N8" s="17">
        <f t="shared" si="2"/>
        <v>0.0306122449</v>
      </c>
      <c r="R8" s="20"/>
      <c r="W8" s="20"/>
      <c r="AA8" s="20"/>
    </row>
    <row r="9" ht="14.25" hidden="1" customHeight="1">
      <c r="A9" s="22" t="s">
        <v>37</v>
      </c>
      <c r="B9" s="19" t="s">
        <v>38</v>
      </c>
      <c r="C9" s="12" t="s">
        <v>18</v>
      </c>
      <c r="D9" s="12" t="s">
        <v>35</v>
      </c>
      <c r="E9" s="12" t="str">
        <f t="shared" si="3"/>
        <v>2022</v>
      </c>
      <c r="F9" s="10"/>
      <c r="G9" s="10"/>
      <c r="H9" s="10"/>
      <c r="I9" s="13">
        <f t="shared" si="6"/>
        <v>0.3333333333</v>
      </c>
      <c r="J9" s="13">
        <f t="shared" si="7"/>
        <v>0.08333333333</v>
      </c>
      <c r="N9" s="20"/>
      <c r="R9" s="20"/>
      <c r="W9" s="20"/>
      <c r="AA9" s="20"/>
    </row>
    <row r="10" ht="14.25" hidden="1" customHeight="1">
      <c r="A10" s="22" t="s">
        <v>39</v>
      </c>
      <c r="B10" s="19" t="s">
        <v>40</v>
      </c>
      <c r="C10" s="12" t="s">
        <v>18</v>
      </c>
      <c r="D10" s="12" t="s">
        <v>35</v>
      </c>
      <c r="E10" s="12" t="str">
        <f t="shared" si="3"/>
        <v>2022</v>
      </c>
      <c r="F10" s="10"/>
      <c r="G10" s="10"/>
      <c r="H10" s="10"/>
      <c r="I10" s="13">
        <f t="shared" si="6"/>
        <v>0.3333333333</v>
      </c>
      <c r="J10" s="13">
        <f t="shared" si="7"/>
        <v>0.08333333333</v>
      </c>
      <c r="N10" s="20"/>
      <c r="R10" s="20"/>
      <c r="W10" s="20"/>
      <c r="AA10" s="20"/>
    </row>
    <row r="11" ht="14.25" hidden="1" customHeight="1">
      <c r="A11" s="4" t="s">
        <v>41</v>
      </c>
      <c r="B11" s="11" t="s">
        <v>42</v>
      </c>
      <c r="C11" s="12"/>
      <c r="D11" s="12"/>
      <c r="E11" s="12" t="str">
        <f t="shared" si="3"/>
        <v/>
      </c>
      <c r="F11" s="10"/>
      <c r="G11" s="13">
        <f>$F$2/4</f>
        <v>0.01923076923</v>
      </c>
      <c r="H11" s="13">
        <f>G11/$F$2</f>
        <v>0.25</v>
      </c>
      <c r="I11" s="21"/>
      <c r="J11" s="21"/>
      <c r="N11" s="20"/>
      <c r="R11" s="20"/>
      <c r="W11" s="20"/>
      <c r="AA11" s="20"/>
    </row>
    <row r="12" ht="14.25" hidden="1" customHeight="1">
      <c r="A12" s="18" t="s">
        <v>43</v>
      </c>
      <c r="B12" s="19" t="s">
        <v>44</v>
      </c>
      <c r="C12" s="12" t="s">
        <v>18</v>
      </c>
      <c r="D12" s="12" t="s">
        <v>28</v>
      </c>
      <c r="E12" s="12" t="str">
        <f t="shared" si="3"/>
        <v>2023</v>
      </c>
      <c r="F12" s="10"/>
      <c r="G12" s="10"/>
      <c r="H12" s="10"/>
      <c r="I12" s="13">
        <f t="shared" ref="I12:I13" si="8">1/COUNTBLANK($H$12:$H$13)</f>
        <v>0.5</v>
      </c>
      <c r="J12" s="13">
        <f t="shared" ref="J12:J13" si="9">I12*$H$11</f>
        <v>0.125</v>
      </c>
      <c r="N12" s="20"/>
      <c r="R12" s="20"/>
      <c r="W12" s="20"/>
      <c r="AA12" s="20"/>
    </row>
    <row r="13" ht="14.25" hidden="1" customHeight="1">
      <c r="A13" s="18" t="s">
        <v>45</v>
      </c>
      <c r="B13" s="19" t="s">
        <v>46</v>
      </c>
      <c r="C13" s="12" t="s">
        <v>18</v>
      </c>
      <c r="D13" s="12" t="s">
        <v>47</v>
      </c>
      <c r="E13" s="12" t="str">
        <f t="shared" si="3"/>
        <v>2022</v>
      </c>
      <c r="F13" s="10"/>
      <c r="G13" s="10"/>
      <c r="H13" s="10"/>
      <c r="I13" s="13">
        <f t="shared" si="8"/>
        <v>0.5</v>
      </c>
      <c r="J13" s="13">
        <f t="shared" si="9"/>
        <v>0.125</v>
      </c>
      <c r="N13" s="20"/>
      <c r="R13" s="20"/>
      <c r="W13" s="20"/>
      <c r="AA13" s="20"/>
    </row>
    <row r="14" ht="14.25" hidden="1" customHeight="1">
      <c r="A14" s="4" t="s">
        <v>48</v>
      </c>
      <c r="B14" s="11" t="s">
        <v>49</v>
      </c>
      <c r="C14" s="12"/>
      <c r="D14" s="12"/>
      <c r="E14" s="12" t="str">
        <f t="shared" si="3"/>
        <v/>
      </c>
      <c r="F14" s="10"/>
      <c r="G14" s="13">
        <f>$F$2/4</f>
        <v>0.01923076923</v>
      </c>
      <c r="H14" s="13">
        <f>G14/$F$2</f>
        <v>0.25</v>
      </c>
      <c r="I14" s="21"/>
      <c r="J14" s="21"/>
      <c r="N14" s="20"/>
      <c r="R14" s="20"/>
      <c r="W14" s="20"/>
      <c r="AA14" s="20"/>
    </row>
    <row r="15" ht="14.25" hidden="1" customHeight="1">
      <c r="A15" s="18" t="s">
        <v>50</v>
      </c>
      <c r="B15" s="19" t="s">
        <v>51</v>
      </c>
      <c r="C15" s="12" t="s">
        <v>23</v>
      </c>
      <c r="D15" s="12" t="s">
        <v>52</v>
      </c>
      <c r="E15" s="12" t="str">
        <f t="shared" si="3"/>
        <v>2023</v>
      </c>
      <c r="F15" s="10"/>
      <c r="G15" s="10"/>
      <c r="H15" s="10"/>
      <c r="I15" s="13">
        <f t="shared" ref="I15:I20" si="10">1/COUNTBLANK($H$15:$H$20)</f>
        <v>0.1666666667</v>
      </c>
      <c r="J15" s="13">
        <f t="shared" ref="J15:J20" si="11">I15*$H$14</f>
        <v>0.04166666667</v>
      </c>
      <c r="N15" s="20"/>
      <c r="R15" s="20"/>
      <c r="W15" s="20"/>
      <c r="AA15" s="20"/>
    </row>
    <row r="16" ht="14.25" hidden="1" customHeight="1">
      <c r="A16" s="18" t="s">
        <v>53</v>
      </c>
      <c r="B16" s="19" t="s">
        <v>54</v>
      </c>
      <c r="C16" s="12" t="s">
        <v>23</v>
      </c>
      <c r="D16" s="12" t="s">
        <v>52</v>
      </c>
      <c r="E16" s="12" t="str">
        <f t="shared" si="3"/>
        <v>2023</v>
      </c>
      <c r="F16" s="10"/>
      <c r="G16" s="10"/>
      <c r="H16" s="10"/>
      <c r="I16" s="13">
        <f t="shared" si="10"/>
        <v>0.1666666667</v>
      </c>
      <c r="J16" s="13">
        <f t="shared" si="11"/>
        <v>0.04166666667</v>
      </c>
      <c r="N16" s="20"/>
      <c r="R16" s="20"/>
      <c r="W16" s="20"/>
      <c r="AA16" s="20"/>
    </row>
    <row r="17" ht="14.25" hidden="1" customHeight="1">
      <c r="A17" s="18" t="s">
        <v>55</v>
      </c>
      <c r="B17" s="19" t="s">
        <v>56</v>
      </c>
      <c r="C17" s="12" t="s">
        <v>23</v>
      </c>
      <c r="D17" s="12" t="s">
        <v>52</v>
      </c>
      <c r="E17" s="12" t="str">
        <f t="shared" si="3"/>
        <v>2023</v>
      </c>
      <c r="F17" s="10"/>
      <c r="G17" s="10"/>
      <c r="H17" s="10"/>
      <c r="I17" s="13">
        <f t="shared" si="10"/>
        <v>0.1666666667</v>
      </c>
      <c r="J17" s="13">
        <f t="shared" si="11"/>
        <v>0.04166666667</v>
      </c>
      <c r="N17" s="20"/>
      <c r="R17" s="20"/>
      <c r="W17" s="20"/>
      <c r="AA17" s="20"/>
    </row>
    <row r="18" ht="14.25" hidden="1" customHeight="1">
      <c r="A18" s="18" t="s">
        <v>57</v>
      </c>
      <c r="B18" s="19" t="s">
        <v>58</v>
      </c>
      <c r="C18" s="12" t="s">
        <v>18</v>
      </c>
      <c r="D18" s="12" t="s">
        <v>52</v>
      </c>
      <c r="E18" s="12" t="str">
        <f t="shared" si="3"/>
        <v>2023</v>
      </c>
      <c r="F18" s="10"/>
      <c r="G18" s="10"/>
      <c r="H18" s="10"/>
      <c r="I18" s="13">
        <f t="shared" si="10"/>
        <v>0.1666666667</v>
      </c>
      <c r="J18" s="13">
        <f t="shared" si="11"/>
        <v>0.04166666667</v>
      </c>
      <c r="N18" s="20"/>
      <c r="R18" s="20"/>
      <c r="W18" s="20"/>
      <c r="AA18" s="20"/>
    </row>
    <row r="19" ht="14.25" hidden="1" customHeight="1">
      <c r="A19" s="18" t="s">
        <v>59</v>
      </c>
      <c r="B19" s="19" t="s">
        <v>60</v>
      </c>
      <c r="C19" s="12" t="s">
        <v>18</v>
      </c>
      <c r="D19" s="12" t="s">
        <v>35</v>
      </c>
      <c r="E19" s="12" t="str">
        <f t="shared" si="3"/>
        <v>2022</v>
      </c>
      <c r="F19" s="10"/>
      <c r="G19" s="10"/>
      <c r="H19" s="10"/>
      <c r="I19" s="13">
        <f t="shared" si="10"/>
        <v>0.1666666667</v>
      </c>
      <c r="J19" s="13">
        <f t="shared" si="11"/>
        <v>0.04166666667</v>
      </c>
      <c r="N19" s="20"/>
      <c r="W19" s="20"/>
      <c r="AA19" s="20"/>
    </row>
    <row r="20" ht="14.25" hidden="1" customHeight="1">
      <c r="A20" s="18" t="s">
        <v>61</v>
      </c>
      <c r="B20" s="19" t="s">
        <v>62</v>
      </c>
      <c r="C20" s="12" t="s">
        <v>18</v>
      </c>
      <c r="D20" s="12" t="s">
        <v>52</v>
      </c>
      <c r="E20" s="12" t="str">
        <f t="shared" si="3"/>
        <v>2023</v>
      </c>
      <c r="F20" s="10"/>
      <c r="G20" s="10"/>
      <c r="H20" s="10"/>
      <c r="I20" s="13">
        <f t="shared" si="10"/>
        <v>0.1666666667</v>
      </c>
      <c r="J20" s="13">
        <f t="shared" si="11"/>
        <v>0.04166666667</v>
      </c>
      <c r="N20" s="20"/>
      <c r="R20" s="20"/>
      <c r="W20" s="20"/>
      <c r="AA20" s="20"/>
    </row>
    <row r="21" ht="14.25" hidden="1" customHeight="1">
      <c r="A21" s="5" t="s">
        <v>63</v>
      </c>
      <c r="B21" s="6"/>
      <c r="C21" s="12"/>
      <c r="D21" s="12"/>
      <c r="E21" s="12" t="str">
        <f t="shared" si="3"/>
        <v/>
      </c>
      <c r="F21" s="13">
        <f>F2</f>
        <v>0.07692307692</v>
      </c>
      <c r="G21" s="9"/>
      <c r="H21" s="9"/>
      <c r="I21" s="10"/>
      <c r="J21" s="10"/>
      <c r="N21" s="20"/>
      <c r="R21" s="20"/>
      <c r="W21" s="20"/>
      <c r="AA21" s="20"/>
    </row>
    <row r="22" ht="14.25" hidden="1" customHeight="1">
      <c r="A22" s="4" t="s">
        <v>64</v>
      </c>
      <c r="B22" s="11" t="s">
        <v>65</v>
      </c>
      <c r="C22" s="12"/>
      <c r="D22" s="12"/>
      <c r="E22" s="12" t="str">
        <f t="shared" si="3"/>
        <v/>
      </c>
      <c r="F22" s="10"/>
      <c r="G22" s="13">
        <f>$F$21/3</f>
        <v>0.02564102564</v>
      </c>
      <c r="H22" s="13">
        <f>G22/$F$21</f>
        <v>0.3333333333</v>
      </c>
      <c r="I22" s="14"/>
      <c r="J22" s="14"/>
      <c r="N22" s="20"/>
      <c r="R22" s="20"/>
      <c r="W22" s="20"/>
      <c r="AA22" s="20"/>
    </row>
    <row r="23" ht="14.25" hidden="1" customHeight="1">
      <c r="A23" s="18" t="s">
        <v>66</v>
      </c>
      <c r="B23" s="19" t="s">
        <v>67</v>
      </c>
      <c r="C23" s="12" t="s">
        <v>18</v>
      </c>
      <c r="D23" s="12" t="s">
        <v>24</v>
      </c>
      <c r="E23" s="12" t="str">
        <f t="shared" si="3"/>
        <v>2022</v>
      </c>
      <c r="F23" s="10"/>
      <c r="G23" s="10"/>
      <c r="H23" s="10"/>
      <c r="I23" s="13">
        <f t="shared" ref="I23:I27" si="12">1/COUNTBLANK($H$23:$H$27)</f>
        <v>0.2</v>
      </c>
      <c r="J23" s="13">
        <f t="shared" ref="J23:J27" si="13">I23*$H$22</f>
        <v>0.06666666667</v>
      </c>
      <c r="R23" s="20"/>
      <c r="W23" s="20"/>
      <c r="AA23" s="20"/>
    </row>
    <row r="24" ht="14.25" hidden="1" customHeight="1">
      <c r="A24" s="18" t="s">
        <v>68</v>
      </c>
      <c r="B24" s="19" t="s">
        <v>69</v>
      </c>
      <c r="C24" s="12" t="s">
        <v>18</v>
      </c>
      <c r="D24" s="12" t="s">
        <v>52</v>
      </c>
      <c r="E24" s="12" t="str">
        <f t="shared" si="3"/>
        <v>2023</v>
      </c>
      <c r="F24" s="10"/>
      <c r="G24" s="10"/>
      <c r="H24" s="10"/>
      <c r="I24" s="13">
        <f t="shared" si="12"/>
        <v>0.2</v>
      </c>
      <c r="J24" s="13">
        <f t="shared" si="13"/>
        <v>0.06666666667</v>
      </c>
      <c r="N24" s="20"/>
      <c r="R24" s="20"/>
      <c r="W24" s="20"/>
      <c r="AA24" s="20"/>
    </row>
    <row r="25" ht="14.25" hidden="1" customHeight="1">
      <c r="A25" s="18" t="s">
        <v>70</v>
      </c>
      <c r="B25" s="19" t="s">
        <v>71</v>
      </c>
      <c r="C25" s="12" t="s">
        <v>18</v>
      </c>
      <c r="D25" s="12" t="s">
        <v>52</v>
      </c>
      <c r="E25" s="12" t="str">
        <f t="shared" si="3"/>
        <v>2023</v>
      </c>
      <c r="F25" s="10"/>
      <c r="G25" s="21"/>
      <c r="H25" s="21"/>
      <c r="I25" s="13">
        <f t="shared" si="12"/>
        <v>0.2</v>
      </c>
      <c r="J25" s="13">
        <f t="shared" si="13"/>
        <v>0.06666666667</v>
      </c>
      <c r="N25" s="20"/>
      <c r="R25" s="20"/>
      <c r="W25" s="20"/>
      <c r="AA25" s="20"/>
    </row>
    <row r="26" ht="14.25" hidden="1" customHeight="1">
      <c r="A26" s="18" t="s">
        <v>72</v>
      </c>
      <c r="B26" s="19" t="s">
        <v>73</v>
      </c>
      <c r="C26" s="12" t="s">
        <v>23</v>
      </c>
      <c r="D26" s="12" t="s">
        <v>52</v>
      </c>
      <c r="E26" s="12" t="str">
        <f t="shared" si="3"/>
        <v>2023</v>
      </c>
      <c r="F26" s="10"/>
      <c r="G26" s="10"/>
      <c r="H26" s="10"/>
      <c r="I26" s="13">
        <f t="shared" si="12"/>
        <v>0.2</v>
      </c>
      <c r="J26" s="13">
        <f t="shared" si="13"/>
        <v>0.06666666667</v>
      </c>
      <c r="N26" s="20"/>
      <c r="R26" s="20"/>
      <c r="W26" s="20"/>
      <c r="AA26" s="20"/>
    </row>
    <row r="27" ht="14.25" hidden="1" customHeight="1">
      <c r="A27" s="18" t="s">
        <v>74</v>
      </c>
      <c r="B27" s="19" t="s">
        <v>75</v>
      </c>
      <c r="C27" s="12" t="s">
        <v>18</v>
      </c>
      <c r="D27" s="12" t="s">
        <v>24</v>
      </c>
      <c r="E27" s="12" t="str">
        <f t="shared" si="3"/>
        <v>2022</v>
      </c>
      <c r="F27" s="10"/>
      <c r="G27" s="10"/>
      <c r="H27" s="10"/>
      <c r="I27" s="13">
        <f t="shared" si="12"/>
        <v>0.2</v>
      </c>
      <c r="J27" s="13">
        <f t="shared" si="13"/>
        <v>0.06666666667</v>
      </c>
      <c r="N27" s="20"/>
      <c r="R27" s="20"/>
      <c r="W27" s="20"/>
      <c r="AA27" s="20"/>
    </row>
    <row r="28" ht="14.25" hidden="1" customHeight="1">
      <c r="A28" s="23" t="s">
        <v>76</v>
      </c>
      <c r="B28" s="11" t="s">
        <v>77</v>
      </c>
      <c r="C28" s="12"/>
      <c r="D28" s="12"/>
      <c r="E28" s="12" t="str">
        <f t="shared" si="3"/>
        <v/>
      </c>
      <c r="F28" s="10"/>
      <c r="G28" s="13">
        <f>G22</f>
        <v>0.02564102564</v>
      </c>
      <c r="H28" s="13">
        <f>G28/$F$21</f>
        <v>0.3333333333</v>
      </c>
      <c r="I28" s="21"/>
      <c r="J28" s="21"/>
      <c r="N28" s="20"/>
      <c r="R28" s="20"/>
      <c r="W28" s="20"/>
      <c r="AA28" s="20"/>
    </row>
    <row r="29" ht="14.25" hidden="1" customHeight="1">
      <c r="A29" s="24" t="s">
        <v>78</v>
      </c>
      <c r="B29" s="25" t="s">
        <v>79</v>
      </c>
      <c r="C29" s="12" t="s">
        <v>23</v>
      </c>
      <c r="D29" s="12" t="s">
        <v>52</v>
      </c>
      <c r="E29" s="12" t="str">
        <f t="shared" si="3"/>
        <v>2023</v>
      </c>
      <c r="F29" s="10"/>
      <c r="G29" s="10"/>
      <c r="H29" s="10"/>
      <c r="I29" s="13">
        <f t="shared" ref="I29:I33" si="14">1/COUNTBLANK($H$29:$H$33)</f>
        <v>0.2</v>
      </c>
      <c r="J29" s="13">
        <f t="shared" ref="J29:J33" si="15">I29*$H$28</f>
        <v>0.06666666667</v>
      </c>
      <c r="N29" s="20"/>
      <c r="R29" s="20"/>
      <c r="W29" s="20"/>
      <c r="AA29" s="20"/>
    </row>
    <row r="30" ht="14.25" hidden="1" customHeight="1">
      <c r="A30" s="24" t="s">
        <v>80</v>
      </c>
      <c r="B30" s="25" t="s">
        <v>81</v>
      </c>
      <c r="C30" s="12" t="s">
        <v>23</v>
      </c>
      <c r="D30" s="12" t="s">
        <v>52</v>
      </c>
      <c r="E30" s="12" t="str">
        <f t="shared" si="3"/>
        <v>2023</v>
      </c>
      <c r="F30" s="10"/>
      <c r="G30" s="21"/>
      <c r="H30" s="21"/>
      <c r="I30" s="13">
        <f t="shared" si="14"/>
        <v>0.2</v>
      </c>
      <c r="J30" s="13">
        <f t="shared" si="15"/>
        <v>0.06666666667</v>
      </c>
      <c r="N30" s="20"/>
      <c r="R30" s="20"/>
      <c r="W30" s="20"/>
      <c r="AA30" s="20"/>
    </row>
    <row r="31" ht="14.25" hidden="1" customHeight="1">
      <c r="A31" s="24" t="s">
        <v>82</v>
      </c>
      <c r="B31" s="19" t="s">
        <v>83</v>
      </c>
      <c r="C31" s="12" t="s">
        <v>18</v>
      </c>
      <c r="D31" s="12" t="s">
        <v>52</v>
      </c>
      <c r="E31" s="12" t="str">
        <f t="shared" si="3"/>
        <v>2023</v>
      </c>
      <c r="F31" s="10"/>
      <c r="G31" s="10"/>
      <c r="H31" s="10"/>
      <c r="I31" s="13">
        <f t="shared" si="14"/>
        <v>0.2</v>
      </c>
      <c r="J31" s="13">
        <f t="shared" si="15"/>
        <v>0.06666666667</v>
      </c>
      <c r="N31" s="20"/>
      <c r="R31" s="20"/>
      <c r="W31" s="20"/>
      <c r="AA31" s="20"/>
    </row>
    <row r="32" ht="14.25" hidden="1" customHeight="1">
      <c r="A32" s="24" t="s">
        <v>84</v>
      </c>
      <c r="B32" s="19" t="s">
        <v>85</v>
      </c>
      <c r="C32" s="12" t="s">
        <v>18</v>
      </c>
      <c r="D32" s="12" t="s">
        <v>52</v>
      </c>
      <c r="E32" s="12" t="str">
        <f t="shared" si="3"/>
        <v>2023</v>
      </c>
      <c r="F32" s="10"/>
      <c r="G32" s="10"/>
      <c r="H32" s="10"/>
      <c r="I32" s="13">
        <f t="shared" si="14"/>
        <v>0.2</v>
      </c>
      <c r="J32" s="13">
        <f t="shared" si="15"/>
        <v>0.06666666667</v>
      </c>
      <c r="N32" s="20"/>
      <c r="R32" s="20"/>
      <c r="W32" s="20"/>
      <c r="AA32" s="20"/>
    </row>
    <row r="33" ht="14.25" hidden="1" customHeight="1">
      <c r="A33" s="18" t="s">
        <v>86</v>
      </c>
      <c r="B33" s="19" t="s">
        <v>87</v>
      </c>
      <c r="C33" s="12" t="s">
        <v>18</v>
      </c>
      <c r="D33" s="12" t="s">
        <v>88</v>
      </c>
      <c r="E33" s="12" t="str">
        <f t="shared" si="3"/>
        <v>2024</v>
      </c>
      <c r="F33" s="10"/>
      <c r="G33" s="10"/>
      <c r="H33" s="10"/>
      <c r="I33" s="13">
        <f t="shared" si="14"/>
        <v>0.2</v>
      </c>
      <c r="J33" s="13">
        <f t="shared" si="15"/>
        <v>0.06666666667</v>
      </c>
      <c r="N33" s="20"/>
      <c r="R33" s="20"/>
      <c r="W33" s="20"/>
      <c r="AA33" s="20"/>
    </row>
    <row r="34" ht="14.25" hidden="1" customHeight="1">
      <c r="A34" s="4" t="s">
        <v>89</v>
      </c>
      <c r="B34" s="11" t="s">
        <v>90</v>
      </c>
      <c r="C34" s="12"/>
      <c r="D34" s="12"/>
      <c r="E34" s="12" t="str">
        <f t="shared" si="3"/>
        <v/>
      </c>
      <c r="F34" s="10"/>
      <c r="G34" s="13">
        <f>G22</f>
        <v>0.02564102564</v>
      </c>
      <c r="H34" s="13">
        <f>G34/$F$21</f>
        <v>0.3333333333</v>
      </c>
      <c r="I34" s="21"/>
      <c r="J34" s="21"/>
      <c r="N34" s="20"/>
      <c r="R34" s="20"/>
      <c r="W34" s="20"/>
      <c r="AA34" s="20"/>
    </row>
    <row r="35" ht="14.25" hidden="1" customHeight="1">
      <c r="A35" s="26" t="s">
        <v>91</v>
      </c>
      <c r="B35" s="27" t="s">
        <v>92</v>
      </c>
      <c r="C35" s="12" t="s">
        <v>18</v>
      </c>
      <c r="D35" s="12" t="s">
        <v>52</v>
      </c>
      <c r="E35" s="12" t="str">
        <f t="shared" si="3"/>
        <v>2023</v>
      </c>
      <c r="I35" s="13">
        <f t="shared" ref="I35:I39" si="16">1/COUNTBLANK($H$35:$H$39)</f>
        <v>0.2</v>
      </c>
      <c r="J35" s="13">
        <f t="shared" ref="J35:J39" si="17">I35*$H$34</f>
        <v>0.06666666667</v>
      </c>
      <c r="N35" s="20"/>
      <c r="R35" s="20"/>
    </row>
    <row r="36" ht="14.25" hidden="1" customHeight="1">
      <c r="A36" s="26" t="s">
        <v>93</v>
      </c>
      <c r="B36" s="19" t="s">
        <v>94</v>
      </c>
      <c r="C36" s="12" t="s">
        <v>18</v>
      </c>
      <c r="D36" s="12" t="s">
        <v>88</v>
      </c>
      <c r="E36" s="12" t="str">
        <f t="shared" si="3"/>
        <v>2024</v>
      </c>
      <c r="I36" s="13">
        <f t="shared" si="16"/>
        <v>0.2</v>
      </c>
      <c r="J36" s="13">
        <f t="shared" si="17"/>
        <v>0.06666666667</v>
      </c>
    </row>
    <row r="37" ht="14.25" hidden="1" customHeight="1">
      <c r="A37" s="26" t="s">
        <v>95</v>
      </c>
      <c r="B37" s="19" t="s">
        <v>96</v>
      </c>
      <c r="C37" s="12" t="s">
        <v>18</v>
      </c>
      <c r="D37" s="12" t="s">
        <v>24</v>
      </c>
      <c r="E37" s="12" t="str">
        <f t="shared" si="3"/>
        <v>2022</v>
      </c>
      <c r="I37" s="13">
        <f t="shared" si="16"/>
        <v>0.2</v>
      </c>
      <c r="J37" s="13">
        <f t="shared" si="17"/>
        <v>0.06666666667</v>
      </c>
    </row>
    <row r="38" ht="14.25" hidden="1" customHeight="1">
      <c r="A38" s="26" t="s">
        <v>97</v>
      </c>
      <c r="B38" s="19" t="s">
        <v>98</v>
      </c>
      <c r="C38" s="12" t="s">
        <v>18</v>
      </c>
      <c r="D38" s="12" t="s">
        <v>24</v>
      </c>
      <c r="E38" s="12" t="str">
        <f t="shared" si="3"/>
        <v>2022</v>
      </c>
      <c r="I38" s="13">
        <f t="shared" si="16"/>
        <v>0.2</v>
      </c>
      <c r="J38" s="13">
        <f t="shared" si="17"/>
        <v>0.06666666667</v>
      </c>
    </row>
    <row r="39" ht="14.25" hidden="1" customHeight="1">
      <c r="A39" s="26" t="s">
        <v>99</v>
      </c>
      <c r="B39" s="19" t="s">
        <v>100</v>
      </c>
      <c r="C39" s="12" t="s">
        <v>18</v>
      </c>
      <c r="D39" s="12" t="s">
        <v>88</v>
      </c>
      <c r="E39" s="12" t="str">
        <f t="shared" si="3"/>
        <v>2024</v>
      </c>
      <c r="I39" s="13">
        <f t="shared" si="16"/>
        <v>0.2</v>
      </c>
      <c r="J39" s="13">
        <f t="shared" si="17"/>
        <v>0.06666666667</v>
      </c>
    </row>
    <row r="40" ht="14.25" customHeight="1">
      <c r="A40" s="5" t="s">
        <v>101</v>
      </c>
      <c r="B40" s="6"/>
      <c r="C40" s="12"/>
      <c r="D40" s="12"/>
      <c r="E40" s="12" t="str">
        <f t="shared" si="3"/>
        <v/>
      </c>
      <c r="F40" s="13">
        <f>F2</f>
        <v>0.07692307692</v>
      </c>
      <c r="I40" s="21"/>
      <c r="J40" s="21"/>
    </row>
    <row r="41" ht="14.25" customHeight="1">
      <c r="A41" s="28" t="s">
        <v>102</v>
      </c>
      <c r="B41" s="29" t="s">
        <v>103</v>
      </c>
      <c r="C41" s="12"/>
      <c r="D41" s="12"/>
      <c r="E41" s="12" t="str">
        <f t="shared" si="3"/>
        <v/>
      </c>
      <c r="G41" s="13">
        <f>F40/2</f>
        <v>0.03846153846</v>
      </c>
      <c r="H41" s="13">
        <f>G41/$F$40</f>
        <v>0.5</v>
      </c>
      <c r="I41" s="21"/>
      <c r="J41" s="21"/>
    </row>
    <row r="42" ht="14.25" customHeight="1">
      <c r="A42" s="30" t="s">
        <v>104</v>
      </c>
      <c r="B42" s="31" t="s">
        <v>105</v>
      </c>
      <c r="C42" s="12" t="s">
        <v>18</v>
      </c>
      <c r="D42" s="12" t="s">
        <v>52</v>
      </c>
      <c r="E42" s="12" t="str">
        <f t="shared" si="3"/>
        <v>2023</v>
      </c>
      <c r="I42" s="13">
        <f t="shared" ref="I42:I45" si="18">1/COUNTBLANK($H$42:$H$45)</f>
        <v>0.25</v>
      </c>
      <c r="J42" s="13">
        <f t="shared" ref="J42:J45" si="19">I42*$H$41</f>
        <v>0.125</v>
      </c>
    </row>
    <row r="43" ht="14.25" customHeight="1">
      <c r="A43" s="30" t="s">
        <v>106</v>
      </c>
      <c r="B43" s="31" t="s">
        <v>107</v>
      </c>
      <c r="C43" s="12" t="s">
        <v>18</v>
      </c>
      <c r="D43" s="12" t="s">
        <v>52</v>
      </c>
      <c r="E43" s="12" t="str">
        <f t="shared" si="3"/>
        <v>2023</v>
      </c>
      <c r="I43" s="13">
        <f t="shared" si="18"/>
        <v>0.25</v>
      </c>
      <c r="J43" s="13">
        <f t="shared" si="19"/>
        <v>0.125</v>
      </c>
    </row>
    <row r="44" ht="14.25" customHeight="1">
      <c r="A44" s="30" t="s">
        <v>108</v>
      </c>
      <c r="B44" s="31" t="s">
        <v>109</v>
      </c>
      <c r="C44" s="12" t="s">
        <v>18</v>
      </c>
      <c r="D44" s="12" t="s">
        <v>110</v>
      </c>
      <c r="E44" s="12" t="str">
        <f t="shared" si="3"/>
        <v>2023</v>
      </c>
      <c r="I44" s="13">
        <f t="shared" si="18"/>
        <v>0.25</v>
      </c>
      <c r="J44" s="13">
        <f t="shared" si="19"/>
        <v>0.125</v>
      </c>
    </row>
    <row r="45" ht="14.25" customHeight="1">
      <c r="A45" s="30" t="s">
        <v>111</v>
      </c>
      <c r="B45" s="31" t="s">
        <v>112</v>
      </c>
      <c r="C45" s="12" t="s">
        <v>18</v>
      </c>
      <c r="D45" s="12" t="s">
        <v>110</v>
      </c>
      <c r="E45" s="12" t="str">
        <f t="shared" si="3"/>
        <v>2023</v>
      </c>
      <c r="I45" s="13">
        <f t="shared" si="18"/>
        <v>0.25</v>
      </c>
      <c r="J45" s="13">
        <f t="shared" si="19"/>
        <v>0.125</v>
      </c>
    </row>
    <row r="46" ht="14.25" customHeight="1">
      <c r="A46" s="28" t="s">
        <v>113</v>
      </c>
      <c r="B46" s="29" t="s">
        <v>114</v>
      </c>
      <c r="C46" s="12"/>
      <c r="D46" s="12"/>
      <c r="E46" s="12" t="str">
        <f t="shared" si="3"/>
        <v/>
      </c>
      <c r="G46" s="13">
        <f t="shared" ref="G46:H46" si="20">G41</f>
        <v>0.03846153846</v>
      </c>
      <c r="H46" s="13">
        <f t="shared" si="20"/>
        <v>0.5</v>
      </c>
      <c r="I46" s="21"/>
      <c r="J46" s="21"/>
    </row>
    <row r="47" ht="14.25" customHeight="1">
      <c r="A47" s="30" t="s">
        <v>115</v>
      </c>
      <c r="B47" s="31" t="s">
        <v>116</v>
      </c>
      <c r="C47" s="12" t="s">
        <v>18</v>
      </c>
      <c r="D47" s="12" t="s">
        <v>52</v>
      </c>
      <c r="E47" s="12" t="str">
        <f t="shared" si="3"/>
        <v>2023</v>
      </c>
      <c r="I47" s="13">
        <f t="shared" ref="I47:I49" si="21">1/COUNTBLANK($H$47:$H$49)</f>
        <v>0.3333333333</v>
      </c>
      <c r="J47" s="13">
        <f t="shared" ref="J47:J49" si="22">I47*$H$46</f>
        <v>0.1666666667</v>
      </c>
      <c r="K47" s="32"/>
    </row>
    <row r="48" ht="14.25" customHeight="1">
      <c r="A48" s="30" t="s">
        <v>117</v>
      </c>
      <c r="B48" s="31" t="s">
        <v>118</v>
      </c>
      <c r="C48" s="12" t="s">
        <v>18</v>
      </c>
      <c r="D48" s="12" t="s">
        <v>52</v>
      </c>
      <c r="E48" s="12" t="str">
        <f t="shared" si="3"/>
        <v>2023</v>
      </c>
      <c r="I48" s="13">
        <f t="shared" si="21"/>
        <v>0.3333333333</v>
      </c>
      <c r="J48" s="13">
        <f t="shared" si="22"/>
        <v>0.1666666667</v>
      </c>
    </row>
    <row r="49" ht="14.25" customHeight="1">
      <c r="A49" s="30" t="s">
        <v>119</v>
      </c>
      <c r="B49" s="31" t="s">
        <v>120</v>
      </c>
      <c r="C49" s="12" t="s">
        <v>18</v>
      </c>
      <c r="D49" s="12" t="s">
        <v>52</v>
      </c>
      <c r="E49" s="12" t="str">
        <f t="shared" si="3"/>
        <v>2023</v>
      </c>
      <c r="I49" s="13">
        <f t="shared" si="21"/>
        <v>0.3333333333</v>
      </c>
      <c r="J49" s="13">
        <f t="shared" si="22"/>
        <v>0.1666666667</v>
      </c>
    </row>
    <row r="50" ht="14.25" hidden="1" customHeight="1">
      <c r="A50" s="5" t="s">
        <v>121</v>
      </c>
      <c r="B50" s="6"/>
      <c r="C50" s="12"/>
      <c r="D50" s="12"/>
      <c r="E50" s="12" t="str">
        <f t="shared" si="3"/>
        <v/>
      </c>
      <c r="F50" s="13">
        <f>F2</f>
        <v>0.07692307692</v>
      </c>
      <c r="G50" s="9"/>
      <c r="H50" s="9"/>
      <c r="I50" s="10"/>
      <c r="J50" s="10"/>
    </row>
    <row r="51" ht="14.25" hidden="1" customHeight="1">
      <c r="A51" s="23" t="s">
        <v>122</v>
      </c>
      <c r="B51" s="33" t="s">
        <v>123</v>
      </c>
      <c r="C51" s="12"/>
      <c r="D51" s="12"/>
      <c r="E51" s="12" t="str">
        <f t="shared" si="3"/>
        <v/>
      </c>
      <c r="F51" s="10"/>
      <c r="G51" s="13">
        <f>$F$50/2</f>
        <v>0.03846153846</v>
      </c>
      <c r="H51" s="13">
        <f>G51/$F$50</f>
        <v>0.5</v>
      </c>
      <c r="I51" s="14"/>
      <c r="J51" s="14"/>
      <c r="K51" s="32"/>
    </row>
    <row r="52" ht="14.25" hidden="1" customHeight="1">
      <c r="A52" s="18" t="s">
        <v>124</v>
      </c>
      <c r="B52" s="19" t="s">
        <v>125</v>
      </c>
      <c r="C52" s="12" t="s">
        <v>18</v>
      </c>
      <c r="D52" s="12" t="s">
        <v>110</v>
      </c>
      <c r="E52" s="12" t="str">
        <f t="shared" si="3"/>
        <v>2023</v>
      </c>
      <c r="F52" s="10"/>
      <c r="G52" s="10"/>
      <c r="H52" s="10"/>
      <c r="I52" s="13">
        <f t="shared" ref="I52:I55" si="23">1/COUNTBLANK($H$52:$H$55)</f>
        <v>0.25</v>
      </c>
      <c r="J52" s="13">
        <f t="shared" ref="J52:J55" si="24">I52*$H$51</f>
        <v>0.125</v>
      </c>
      <c r="K52" s="32"/>
    </row>
    <row r="53" ht="14.25" hidden="1" customHeight="1">
      <c r="A53" s="18" t="s">
        <v>126</v>
      </c>
      <c r="B53" s="19" t="s">
        <v>127</v>
      </c>
      <c r="C53" s="12" t="s">
        <v>23</v>
      </c>
      <c r="D53" s="12" t="s">
        <v>24</v>
      </c>
      <c r="E53" s="12" t="str">
        <f t="shared" si="3"/>
        <v>2022</v>
      </c>
      <c r="F53" s="10"/>
      <c r="G53" s="10"/>
      <c r="H53" s="10"/>
      <c r="I53" s="13">
        <f t="shared" si="23"/>
        <v>0.25</v>
      </c>
      <c r="J53" s="13">
        <f t="shared" si="24"/>
        <v>0.125</v>
      </c>
      <c r="K53" s="32"/>
    </row>
    <row r="54" ht="14.25" hidden="1" customHeight="1">
      <c r="A54" s="18" t="s">
        <v>128</v>
      </c>
      <c r="B54" s="34" t="s">
        <v>129</v>
      </c>
      <c r="C54" s="12" t="s">
        <v>23</v>
      </c>
      <c r="D54" s="12" t="s">
        <v>52</v>
      </c>
      <c r="E54" s="12" t="str">
        <f t="shared" si="3"/>
        <v>2023</v>
      </c>
      <c r="F54" s="10"/>
      <c r="G54" s="10"/>
      <c r="H54" s="10"/>
      <c r="I54" s="13">
        <f t="shared" si="23"/>
        <v>0.25</v>
      </c>
      <c r="J54" s="13">
        <f t="shared" si="24"/>
        <v>0.125</v>
      </c>
      <c r="K54" s="32"/>
    </row>
    <row r="55" ht="14.25" hidden="1" customHeight="1">
      <c r="A55" s="18" t="s">
        <v>130</v>
      </c>
      <c r="B55" s="34" t="s">
        <v>131</v>
      </c>
      <c r="C55" s="12" t="s">
        <v>23</v>
      </c>
      <c r="D55" s="12" t="s">
        <v>24</v>
      </c>
      <c r="E55" s="12" t="str">
        <f t="shared" si="3"/>
        <v>2022</v>
      </c>
      <c r="F55" s="10"/>
      <c r="G55" s="10"/>
      <c r="H55" s="10"/>
      <c r="I55" s="13">
        <f t="shared" si="23"/>
        <v>0.25</v>
      </c>
      <c r="J55" s="13">
        <f t="shared" si="24"/>
        <v>0.125</v>
      </c>
      <c r="K55" s="32"/>
    </row>
    <row r="56" ht="14.25" hidden="1" customHeight="1">
      <c r="A56" s="23" t="s">
        <v>132</v>
      </c>
      <c r="B56" s="33" t="s">
        <v>133</v>
      </c>
      <c r="C56" s="12"/>
      <c r="D56" s="12"/>
      <c r="E56" s="12" t="str">
        <f t="shared" si="3"/>
        <v/>
      </c>
      <c r="F56" s="10"/>
      <c r="G56" s="13">
        <f>$F$50/2</f>
        <v>0.03846153846</v>
      </c>
      <c r="H56" s="13">
        <f>G56/$F$50</f>
        <v>0.5</v>
      </c>
      <c r="I56" s="21"/>
      <c r="J56" s="21"/>
      <c r="K56" s="32"/>
    </row>
    <row r="57" ht="14.25" hidden="1" customHeight="1">
      <c r="A57" s="18" t="s">
        <v>134</v>
      </c>
      <c r="B57" s="19" t="s">
        <v>135</v>
      </c>
      <c r="C57" s="12" t="s">
        <v>18</v>
      </c>
      <c r="D57" s="12" t="s">
        <v>24</v>
      </c>
      <c r="E57" s="12" t="str">
        <f t="shared" si="3"/>
        <v>2022</v>
      </c>
      <c r="F57" s="10"/>
      <c r="G57" s="21"/>
      <c r="H57" s="21"/>
      <c r="I57" s="13">
        <f t="shared" ref="I57:I58" si="25">1/COUNTBLANK($H$57:$H$58)</f>
        <v>0.5</v>
      </c>
      <c r="J57" s="13">
        <f t="shared" ref="J57:J58" si="26">I57*$H$56</f>
        <v>0.25</v>
      </c>
      <c r="K57" s="32"/>
    </row>
    <row r="58" ht="14.25" hidden="1" customHeight="1">
      <c r="A58" s="18" t="s">
        <v>136</v>
      </c>
      <c r="B58" s="19" t="s">
        <v>137</v>
      </c>
      <c r="C58" s="12" t="s">
        <v>18</v>
      </c>
      <c r="D58" s="12" t="s">
        <v>24</v>
      </c>
      <c r="E58" s="12" t="str">
        <f t="shared" si="3"/>
        <v>2022</v>
      </c>
      <c r="F58" s="10"/>
      <c r="G58" s="10"/>
      <c r="H58" s="10"/>
      <c r="I58" s="13">
        <f t="shared" si="25"/>
        <v>0.5</v>
      </c>
      <c r="J58" s="13">
        <f t="shared" si="26"/>
        <v>0.25</v>
      </c>
    </row>
    <row r="59" ht="14.25" hidden="1" customHeight="1">
      <c r="A59" s="1" t="s">
        <v>138</v>
      </c>
      <c r="B59" s="2" t="s">
        <v>139</v>
      </c>
      <c r="C59" s="12"/>
      <c r="D59" s="12"/>
      <c r="E59" s="12" t="str">
        <f t="shared" si="3"/>
        <v/>
      </c>
      <c r="F59" s="10"/>
      <c r="G59" s="10"/>
      <c r="H59" s="10"/>
      <c r="I59" s="10"/>
      <c r="J59" s="10"/>
    </row>
    <row r="60" ht="14.25" hidden="1" customHeight="1">
      <c r="A60" s="5" t="s">
        <v>140</v>
      </c>
      <c r="B60" s="6"/>
      <c r="C60" s="12"/>
      <c r="D60" s="12"/>
      <c r="E60" s="12" t="str">
        <f t="shared" si="3"/>
        <v/>
      </c>
      <c r="F60" s="13">
        <f>F2</f>
        <v>0.07692307692</v>
      </c>
      <c r="G60" s="10"/>
      <c r="H60" s="10"/>
      <c r="I60" s="21"/>
      <c r="J60" s="21"/>
    </row>
    <row r="61" ht="14.25" hidden="1" customHeight="1">
      <c r="A61" s="23" t="s">
        <v>141</v>
      </c>
      <c r="B61" s="35" t="s">
        <v>142</v>
      </c>
      <c r="C61" s="12"/>
      <c r="D61" s="12"/>
      <c r="E61" s="12" t="str">
        <f t="shared" si="3"/>
        <v/>
      </c>
      <c r="F61" s="10"/>
      <c r="G61" s="13">
        <f>$F$60/3</f>
        <v>0.02564102564</v>
      </c>
      <c r="H61" s="13">
        <f>G61/$F$60</f>
        <v>0.3333333333</v>
      </c>
      <c r="I61" s="21"/>
      <c r="J61" s="21"/>
    </row>
    <row r="62" ht="14.25" hidden="1" customHeight="1">
      <c r="A62" s="18" t="s">
        <v>143</v>
      </c>
      <c r="B62" s="19" t="s">
        <v>144</v>
      </c>
      <c r="C62" s="12" t="s">
        <v>18</v>
      </c>
      <c r="D62" s="12" t="s">
        <v>35</v>
      </c>
      <c r="E62" s="12" t="str">
        <f t="shared" si="3"/>
        <v>2022</v>
      </c>
      <c r="F62" s="10"/>
      <c r="G62" s="21"/>
      <c r="H62" s="21"/>
      <c r="I62" s="13">
        <f t="shared" ref="I62:I64" si="27">1/COUNTBLANK($H$62:$H$64)</f>
        <v>0.3333333333</v>
      </c>
      <c r="J62" s="13">
        <f t="shared" ref="J62:J64" si="28">I62*$H$61</f>
        <v>0.1111111111</v>
      </c>
    </row>
    <row r="63" ht="14.25" hidden="1" customHeight="1">
      <c r="A63" s="18" t="s">
        <v>145</v>
      </c>
      <c r="B63" s="19" t="s">
        <v>146</v>
      </c>
      <c r="C63" s="12" t="s">
        <v>18</v>
      </c>
      <c r="D63" s="12" t="s">
        <v>35</v>
      </c>
      <c r="E63" s="12" t="str">
        <f t="shared" si="3"/>
        <v>2022</v>
      </c>
      <c r="F63" s="10"/>
      <c r="G63" s="10"/>
      <c r="H63" s="10"/>
      <c r="I63" s="13">
        <f t="shared" si="27"/>
        <v>0.3333333333</v>
      </c>
      <c r="J63" s="13">
        <f t="shared" si="28"/>
        <v>0.1111111111</v>
      </c>
    </row>
    <row r="64" ht="14.25" hidden="1" customHeight="1">
      <c r="A64" s="18" t="s">
        <v>147</v>
      </c>
      <c r="B64" s="19" t="s">
        <v>148</v>
      </c>
      <c r="C64" s="12" t="s">
        <v>18</v>
      </c>
      <c r="D64" s="12" t="s">
        <v>35</v>
      </c>
      <c r="E64" s="12" t="str">
        <f t="shared" si="3"/>
        <v>2022</v>
      </c>
      <c r="F64" s="10"/>
      <c r="G64" s="10"/>
      <c r="H64" s="10"/>
      <c r="I64" s="13">
        <f t="shared" si="27"/>
        <v>0.3333333333</v>
      </c>
      <c r="J64" s="13">
        <f t="shared" si="28"/>
        <v>0.1111111111</v>
      </c>
    </row>
    <row r="65" ht="14.25" hidden="1" customHeight="1">
      <c r="A65" s="23" t="s">
        <v>149</v>
      </c>
      <c r="B65" s="35" t="s">
        <v>150</v>
      </c>
      <c r="C65" s="12"/>
      <c r="D65" s="12"/>
      <c r="E65" s="12" t="str">
        <f t="shared" si="3"/>
        <v/>
      </c>
      <c r="F65" s="10"/>
      <c r="G65" s="13">
        <f>$F$60/3</f>
        <v>0.02564102564</v>
      </c>
      <c r="H65" s="13">
        <f>G65/$F$60</f>
        <v>0.3333333333</v>
      </c>
      <c r="I65" s="21"/>
      <c r="J65" s="21"/>
    </row>
    <row r="66" ht="14.25" hidden="1" customHeight="1">
      <c r="A66" s="18" t="s">
        <v>151</v>
      </c>
      <c r="B66" s="19" t="s">
        <v>152</v>
      </c>
      <c r="C66" s="12" t="s">
        <v>23</v>
      </c>
      <c r="D66" s="12" t="s">
        <v>24</v>
      </c>
      <c r="E66" s="12" t="str">
        <f t="shared" si="3"/>
        <v>2022</v>
      </c>
      <c r="F66" s="10"/>
      <c r="G66" s="10"/>
      <c r="H66" s="10"/>
      <c r="I66" s="13">
        <f t="shared" ref="I66:I67" si="29">1/COUNTBLANK($H$66:$H$67)</f>
        <v>0.5</v>
      </c>
      <c r="J66" s="13">
        <f t="shared" ref="J66:J67" si="30">I66*$H$65</f>
        <v>0.1666666667</v>
      </c>
    </row>
    <row r="67" ht="14.25" hidden="1" customHeight="1">
      <c r="A67" s="18" t="s">
        <v>153</v>
      </c>
      <c r="B67" s="34" t="s">
        <v>154</v>
      </c>
      <c r="C67" s="12" t="s">
        <v>23</v>
      </c>
      <c r="D67" s="12" t="s">
        <v>52</v>
      </c>
      <c r="E67" s="12" t="str">
        <f t="shared" si="3"/>
        <v>2023</v>
      </c>
      <c r="F67" s="10"/>
      <c r="G67" s="10"/>
      <c r="H67" s="10"/>
      <c r="I67" s="13">
        <f t="shared" si="29"/>
        <v>0.5</v>
      </c>
      <c r="J67" s="13">
        <f t="shared" si="30"/>
        <v>0.1666666667</v>
      </c>
    </row>
    <row r="68" ht="14.25" hidden="1" customHeight="1">
      <c r="A68" s="23" t="s">
        <v>155</v>
      </c>
      <c r="B68" s="35" t="s">
        <v>156</v>
      </c>
      <c r="C68" s="12"/>
      <c r="D68" s="12"/>
      <c r="E68" s="12" t="str">
        <f t="shared" si="3"/>
        <v/>
      </c>
      <c r="F68" s="10"/>
      <c r="G68" s="13">
        <f>$F$60/3</f>
        <v>0.02564102564</v>
      </c>
      <c r="H68" s="13">
        <f>G68/$F$60</f>
        <v>0.3333333333</v>
      </c>
      <c r="I68" s="21"/>
      <c r="J68" s="21"/>
    </row>
    <row r="69" ht="14.25" hidden="1" customHeight="1">
      <c r="A69" s="18" t="s">
        <v>157</v>
      </c>
      <c r="B69" s="19" t="s">
        <v>158</v>
      </c>
      <c r="C69" s="12" t="s">
        <v>18</v>
      </c>
      <c r="D69" s="12" t="s">
        <v>159</v>
      </c>
      <c r="E69" s="12" t="str">
        <f t="shared" si="3"/>
        <v>2021</v>
      </c>
      <c r="F69" s="10"/>
      <c r="G69" s="10"/>
      <c r="H69" s="10"/>
      <c r="I69" s="13">
        <f t="shared" ref="I69:I72" si="31">1/COUNTBLANK($H$69:$H$72)</f>
        <v>0.25</v>
      </c>
      <c r="J69" s="13">
        <f t="shared" ref="J69:J72" si="32">I69*$H$68</f>
        <v>0.08333333333</v>
      </c>
    </row>
    <row r="70" ht="14.25" hidden="1" customHeight="1">
      <c r="A70" s="18" t="s">
        <v>160</v>
      </c>
      <c r="B70" s="19" t="s">
        <v>161</v>
      </c>
      <c r="C70" s="12" t="s">
        <v>18</v>
      </c>
      <c r="D70" s="12" t="s">
        <v>159</v>
      </c>
      <c r="E70" s="12" t="str">
        <f t="shared" si="3"/>
        <v>2021</v>
      </c>
      <c r="F70" s="10"/>
      <c r="G70" s="10"/>
      <c r="H70" s="10"/>
      <c r="I70" s="13">
        <f t="shared" si="31"/>
        <v>0.25</v>
      </c>
      <c r="J70" s="13">
        <f t="shared" si="32"/>
        <v>0.08333333333</v>
      </c>
    </row>
    <row r="71" ht="14.25" hidden="1" customHeight="1">
      <c r="A71" s="18" t="s">
        <v>162</v>
      </c>
      <c r="B71" s="19" t="s">
        <v>163</v>
      </c>
      <c r="C71" s="12" t="s">
        <v>18</v>
      </c>
      <c r="D71" s="12" t="s">
        <v>159</v>
      </c>
      <c r="E71" s="12" t="str">
        <f t="shared" si="3"/>
        <v>2021</v>
      </c>
      <c r="F71" s="10"/>
      <c r="G71" s="10"/>
      <c r="H71" s="10"/>
      <c r="I71" s="13">
        <f t="shared" si="31"/>
        <v>0.25</v>
      </c>
      <c r="J71" s="13">
        <f t="shared" si="32"/>
        <v>0.08333333333</v>
      </c>
    </row>
    <row r="72" ht="14.25" hidden="1" customHeight="1">
      <c r="A72" s="18" t="s">
        <v>164</v>
      </c>
      <c r="B72" s="31" t="s">
        <v>165</v>
      </c>
      <c r="C72" s="12" t="s">
        <v>18</v>
      </c>
      <c r="D72" s="12" t="s">
        <v>52</v>
      </c>
      <c r="E72" s="12" t="str">
        <f t="shared" si="3"/>
        <v>2023</v>
      </c>
      <c r="F72" s="10"/>
      <c r="G72" s="10"/>
      <c r="H72" s="10"/>
      <c r="I72" s="13">
        <f t="shared" si="31"/>
        <v>0.25</v>
      </c>
      <c r="J72" s="13">
        <f t="shared" si="32"/>
        <v>0.08333333333</v>
      </c>
    </row>
    <row r="73" ht="14.25" hidden="1" customHeight="1">
      <c r="A73" s="5" t="s">
        <v>166</v>
      </c>
      <c r="B73" s="6"/>
      <c r="C73" s="12"/>
      <c r="D73" s="12"/>
      <c r="E73" s="12" t="str">
        <f t="shared" si="3"/>
        <v/>
      </c>
      <c r="F73" s="13">
        <f>F2</f>
        <v>0.07692307692</v>
      </c>
      <c r="G73" s="10"/>
      <c r="H73" s="10"/>
      <c r="I73" s="21"/>
      <c r="J73" s="21"/>
    </row>
    <row r="74" ht="14.25" hidden="1" customHeight="1">
      <c r="A74" s="23" t="s">
        <v>167</v>
      </c>
      <c r="B74" s="33" t="s">
        <v>168</v>
      </c>
      <c r="C74" s="12"/>
      <c r="D74" s="12"/>
      <c r="E74" s="12" t="str">
        <f t="shared" si="3"/>
        <v/>
      </c>
      <c r="F74" s="10"/>
      <c r="G74" s="13">
        <f>$F$73/2</f>
        <v>0.03846153846</v>
      </c>
      <c r="H74" s="13">
        <f>G74/$F$73</f>
        <v>0.5</v>
      </c>
      <c r="I74" s="21"/>
      <c r="J74" s="21"/>
    </row>
    <row r="75" ht="14.25" hidden="1" customHeight="1">
      <c r="A75" s="18" t="s">
        <v>169</v>
      </c>
      <c r="B75" s="19" t="s">
        <v>170</v>
      </c>
      <c r="C75" s="12" t="s">
        <v>18</v>
      </c>
      <c r="D75" s="12" t="s">
        <v>24</v>
      </c>
      <c r="E75" s="12" t="str">
        <f t="shared" si="3"/>
        <v>2022</v>
      </c>
      <c r="F75" s="10"/>
      <c r="G75" s="10"/>
      <c r="H75" s="10"/>
      <c r="I75" s="13">
        <f t="shared" ref="I75:I79" si="33">1/COUNTBLANK($H$75:$H$79)</f>
        <v>0.2</v>
      </c>
      <c r="J75" s="13">
        <f t="shared" ref="J75:J79" si="34">I75*$H$74</f>
        <v>0.1</v>
      </c>
    </row>
    <row r="76" ht="14.25" hidden="1" customHeight="1">
      <c r="A76" s="18" t="s">
        <v>171</v>
      </c>
      <c r="B76" s="19" t="s">
        <v>172</v>
      </c>
      <c r="C76" s="12" t="s">
        <v>18</v>
      </c>
      <c r="D76" s="12" t="s">
        <v>24</v>
      </c>
      <c r="E76" s="12" t="str">
        <f t="shared" si="3"/>
        <v>2022</v>
      </c>
      <c r="F76" s="10"/>
      <c r="G76" s="21"/>
      <c r="H76" s="21"/>
      <c r="I76" s="13">
        <f t="shared" si="33"/>
        <v>0.2</v>
      </c>
      <c r="J76" s="13">
        <f t="shared" si="34"/>
        <v>0.1</v>
      </c>
    </row>
    <row r="77" ht="14.25" hidden="1" customHeight="1">
      <c r="A77" s="18" t="s">
        <v>173</v>
      </c>
      <c r="B77" s="19" t="s">
        <v>174</v>
      </c>
      <c r="C77" s="12" t="s">
        <v>18</v>
      </c>
      <c r="D77" s="12" t="s">
        <v>24</v>
      </c>
      <c r="E77" s="12" t="str">
        <f t="shared" si="3"/>
        <v>2022</v>
      </c>
      <c r="F77" s="10"/>
      <c r="G77" s="10"/>
      <c r="H77" s="10"/>
      <c r="I77" s="13">
        <f t="shared" si="33"/>
        <v>0.2</v>
      </c>
      <c r="J77" s="13">
        <f t="shared" si="34"/>
        <v>0.1</v>
      </c>
    </row>
    <row r="78" ht="14.25" hidden="1" customHeight="1">
      <c r="A78" s="18" t="s">
        <v>175</v>
      </c>
      <c r="B78" s="19" t="s">
        <v>176</v>
      </c>
      <c r="C78" s="12" t="s">
        <v>18</v>
      </c>
      <c r="D78" s="12" t="s">
        <v>24</v>
      </c>
      <c r="E78" s="12" t="str">
        <f t="shared" si="3"/>
        <v>2022</v>
      </c>
      <c r="F78" s="10"/>
      <c r="G78" s="10"/>
      <c r="H78" s="10"/>
      <c r="I78" s="13">
        <f t="shared" si="33"/>
        <v>0.2</v>
      </c>
      <c r="J78" s="13">
        <f t="shared" si="34"/>
        <v>0.1</v>
      </c>
    </row>
    <row r="79" ht="14.25" hidden="1" customHeight="1">
      <c r="A79" s="18" t="s">
        <v>177</v>
      </c>
      <c r="B79" s="19" t="s">
        <v>178</v>
      </c>
      <c r="C79" s="12" t="s">
        <v>23</v>
      </c>
      <c r="D79" s="12" t="s">
        <v>24</v>
      </c>
      <c r="E79" s="12" t="str">
        <f t="shared" si="3"/>
        <v>2022</v>
      </c>
      <c r="F79" s="10"/>
      <c r="G79" s="10"/>
      <c r="H79" s="10"/>
      <c r="I79" s="13">
        <f t="shared" si="33"/>
        <v>0.2</v>
      </c>
      <c r="J79" s="13">
        <f t="shared" si="34"/>
        <v>0.1</v>
      </c>
    </row>
    <row r="80" ht="14.25" hidden="1" customHeight="1">
      <c r="A80" s="23" t="s">
        <v>179</v>
      </c>
      <c r="B80" s="33" t="s">
        <v>180</v>
      </c>
      <c r="C80" s="12"/>
      <c r="D80" s="12"/>
      <c r="E80" s="12" t="str">
        <f t="shared" si="3"/>
        <v/>
      </c>
      <c r="F80" s="10"/>
      <c r="G80" s="13">
        <f>$F$73/2</f>
        <v>0.03846153846</v>
      </c>
      <c r="H80" s="13">
        <f>G80/$F$73</f>
        <v>0.5</v>
      </c>
      <c r="I80" s="21"/>
      <c r="J80" s="21"/>
    </row>
    <row r="81" ht="14.25" hidden="1" customHeight="1">
      <c r="A81" s="18" t="s">
        <v>181</v>
      </c>
      <c r="B81" s="19" t="s">
        <v>182</v>
      </c>
      <c r="C81" s="12" t="s">
        <v>18</v>
      </c>
      <c r="D81" s="12" t="s">
        <v>183</v>
      </c>
      <c r="E81" s="12" t="str">
        <f t="shared" si="3"/>
        <v>2023</v>
      </c>
      <c r="F81" s="10"/>
      <c r="G81" s="10"/>
      <c r="H81" s="10"/>
      <c r="I81" s="13">
        <f t="shared" ref="I81:I84" si="35">1/COUNTBLANK($H$81:$H$84)</f>
        <v>0.25</v>
      </c>
      <c r="J81" s="13">
        <f t="shared" ref="J81:J84" si="36">I81*$H$80</f>
        <v>0.125</v>
      </c>
    </row>
    <row r="82" ht="14.25" hidden="1" customHeight="1">
      <c r="A82" s="18" t="s">
        <v>184</v>
      </c>
      <c r="B82" s="19" t="s">
        <v>185</v>
      </c>
      <c r="C82" s="12" t="s">
        <v>18</v>
      </c>
      <c r="D82" s="12" t="s">
        <v>183</v>
      </c>
      <c r="E82" s="12" t="str">
        <f t="shared" si="3"/>
        <v>2023</v>
      </c>
      <c r="F82" s="10"/>
      <c r="G82" s="10"/>
      <c r="H82" s="10"/>
      <c r="I82" s="13">
        <f t="shared" si="35"/>
        <v>0.25</v>
      </c>
      <c r="J82" s="13">
        <f t="shared" si="36"/>
        <v>0.125</v>
      </c>
    </row>
    <row r="83" ht="14.25" hidden="1" customHeight="1">
      <c r="A83" s="18" t="s">
        <v>186</v>
      </c>
      <c r="B83" s="19" t="s">
        <v>187</v>
      </c>
      <c r="C83" s="12" t="s">
        <v>18</v>
      </c>
      <c r="D83" s="12" t="s">
        <v>24</v>
      </c>
      <c r="E83" s="12" t="str">
        <f t="shared" si="3"/>
        <v>2022</v>
      </c>
      <c r="F83" s="10"/>
      <c r="G83" s="10"/>
      <c r="H83" s="10"/>
      <c r="I83" s="13">
        <f t="shared" si="35"/>
        <v>0.25</v>
      </c>
      <c r="J83" s="13">
        <f t="shared" si="36"/>
        <v>0.125</v>
      </c>
    </row>
    <row r="84" ht="14.25" hidden="1" customHeight="1">
      <c r="A84" s="18" t="s">
        <v>188</v>
      </c>
      <c r="B84" s="19" t="s">
        <v>189</v>
      </c>
      <c r="C84" s="12" t="s">
        <v>23</v>
      </c>
      <c r="D84" s="12" t="s">
        <v>24</v>
      </c>
      <c r="E84" s="12" t="str">
        <f t="shared" si="3"/>
        <v>2022</v>
      </c>
      <c r="F84" s="10"/>
      <c r="G84" s="10"/>
      <c r="H84" s="10"/>
      <c r="I84" s="13">
        <f t="shared" si="35"/>
        <v>0.25</v>
      </c>
      <c r="J84" s="13">
        <f t="shared" si="36"/>
        <v>0.125</v>
      </c>
    </row>
    <row r="85" ht="14.25" hidden="1" customHeight="1">
      <c r="A85" s="5" t="s">
        <v>190</v>
      </c>
      <c r="B85" s="6"/>
      <c r="C85" s="12"/>
      <c r="D85" s="12"/>
      <c r="E85" s="12" t="str">
        <f t="shared" si="3"/>
        <v/>
      </c>
      <c r="F85" s="13">
        <f>F2</f>
        <v>0.07692307692</v>
      </c>
      <c r="G85" s="10"/>
      <c r="H85" s="10"/>
      <c r="I85" s="21"/>
      <c r="J85" s="21"/>
    </row>
    <row r="86" ht="14.25" hidden="1" customHeight="1">
      <c r="A86" s="23" t="s">
        <v>191</v>
      </c>
      <c r="B86" s="33" t="s">
        <v>192</v>
      </c>
      <c r="C86" s="12"/>
      <c r="D86" s="12"/>
      <c r="E86" s="12" t="str">
        <f t="shared" si="3"/>
        <v/>
      </c>
      <c r="F86" s="10"/>
      <c r="G86" s="13">
        <f>$F$85/3</f>
        <v>0.02564102564</v>
      </c>
      <c r="H86" s="13">
        <f>G86/$F$85</f>
        <v>0.3333333333</v>
      </c>
      <c r="I86" s="21"/>
      <c r="J86" s="21"/>
    </row>
    <row r="87" ht="14.25" hidden="1" customHeight="1">
      <c r="A87" s="18" t="s">
        <v>193</v>
      </c>
      <c r="B87" s="19" t="s">
        <v>194</v>
      </c>
      <c r="C87" s="12" t="s">
        <v>18</v>
      </c>
      <c r="D87" s="12" t="s">
        <v>52</v>
      </c>
      <c r="E87" s="12" t="str">
        <f t="shared" si="3"/>
        <v>2023</v>
      </c>
      <c r="F87" s="10"/>
      <c r="G87" s="10"/>
      <c r="H87" s="10"/>
      <c r="I87" s="13">
        <f t="shared" ref="I87:I89" si="37">1/COUNTBLANK($H$87:$H$89)</f>
        <v>0.3333333333</v>
      </c>
      <c r="J87" s="13">
        <f t="shared" ref="J87:J89" si="38">I87*$H$86</f>
        <v>0.1111111111</v>
      </c>
    </row>
    <row r="88" ht="14.25" hidden="1" customHeight="1">
      <c r="A88" s="18" t="s">
        <v>195</v>
      </c>
      <c r="B88" s="19" t="s">
        <v>196</v>
      </c>
      <c r="C88" s="12" t="s">
        <v>18</v>
      </c>
      <c r="D88" s="12" t="s">
        <v>52</v>
      </c>
      <c r="E88" s="12" t="str">
        <f t="shared" si="3"/>
        <v>2023</v>
      </c>
      <c r="F88" s="10"/>
      <c r="G88" s="21"/>
      <c r="H88" s="21"/>
      <c r="I88" s="13">
        <f t="shared" si="37"/>
        <v>0.3333333333</v>
      </c>
      <c r="J88" s="13">
        <f t="shared" si="38"/>
        <v>0.1111111111</v>
      </c>
    </row>
    <row r="89" ht="14.25" hidden="1" customHeight="1">
      <c r="A89" s="18" t="s">
        <v>197</v>
      </c>
      <c r="B89" s="19" t="s">
        <v>198</v>
      </c>
      <c r="C89" s="12" t="s">
        <v>18</v>
      </c>
      <c r="D89" s="12" t="s">
        <v>52</v>
      </c>
      <c r="E89" s="12" t="str">
        <f t="shared" si="3"/>
        <v>2023</v>
      </c>
      <c r="F89" s="10"/>
      <c r="G89" s="10"/>
      <c r="H89" s="10"/>
      <c r="I89" s="13">
        <f t="shared" si="37"/>
        <v>0.3333333333</v>
      </c>
      <c r="J89" s="13">
        <f t="shared" si="38"/>
        <v>0.1111111111</v>
      </c>
    </row>
    <row r="90" ht="14.25" hidden="1" customHeight="1">
      <c r="A90" s="23" t="s">
        <v>199</v>
      </c>
      <c r="B90" s="33" t="s">
        <v>200</v>
      </c>
      <c r="C90" s="12"/>
      <c r="D90" s="12"/>
      <c r="E90" s="12" t="str">
        <f t="shared" si="3"/>
        <v/>
      </c>
      <c r="F90" s="10"/>
      <c r="G90" s="13">
        <f>$F$85/3</f>
        <v>0.02564102564</v>
      </c>
      <c r="H90" s="13">
        <f>G90/$F$85</f>
        <v>0.3333333333</v>
      </c>
      <c r="I90" s="21"/>
      <c r="J90" s="21"/>
    </row>
    <row r="91" ht="14.25" hidden="1" customHeight="1">
      <c r="A91" s="18" t="s">
        <v>201</v>
      </c>
      <c r="B91" s="19" t="s">
        <v>202</v>
      </c>
      <c r="C91" s="12" t="s">
        <v>18</v>
      </c>
      <c r="D91" s="12" t="s">
        <v>24</v>
      </c>
      <c r="E91" s="12" t="str">
        <f t="shared" si="3"/>
        <v>2022</v>
      </c>
      <c r="F91" s="10"/>
      <c r="G91" s="10"/>
      <c r="H91" s="10"/>
      <c r="I91" s="13">
        <f t="shared" ref="I91:I94" si="39">1/COUNTBLANK($H$91:$H$94)</f>
        <v>0.25</v>
      </c>
      <c r="J91" s="13">
        <f t="shared" ref="J91:J94" si="40">I91*$H$90</f>
        <v>0.08333333333</v>
      </c>
    </row>
    <row r="92" ht="14.25" hidden="1" customHeight="1">
      <c r="A92" s="18" t="s">
        <v>203</v>
      </c>
      <c r="B92" s="19" t="s">
        <v>204</v>
      </c>
      <c r="C92" s="12" t="s">
        <v>18</v>
      </c>
      <c r="D92" s="12" t="s">
        <v>52</v>
      </c>
      <c r="E92" s="12" t="str">
        <f t="shared" si="3"/>
        <v>2023</v>
      </c>
      <c r="F92" s="10"/>
      <c r="G92" s="10"/>
      <c r="H92" s="10"/>
      <c r="I92" s="13">
        <f t="shared" si="39"/>
        <v>0.25</v>
      </c>
      <c r="J92" s="13">
        <f t="shared" si="40"/>
        <v>0.08333333333</v>
      </c>
    </row>
    <row r="93" ht="14.25" hidden="1" customHeight="1">
      <c r="A93" s="18" t="s">
        <v>205</v>
      </c>
      <c r="B93" s="19" t="s">
        <v>206</v>
      </c>
      <c r="C93" s="12" t="s">
        <v>18</v>
      </c>
      <c r="D93" s="12" t="s">
        <v>52</v>
      </c>
      <c r="E93" s="12" t="str">
        <f t="shared" si="3"/>
        <v>2023</v>
      </c>
      <c r="F93" s="10"/>
      <c r="G93" s="10"/>
      <c r="H93" s="10"/>
      <c r="I93" s="13">
        <f t="shared" si="39"/>
        <v>0.25</v>
      </c>
      <c r="J93" s="13">
        <f t="shared" si="40"/>
        <v>0.08333333333</v>
      </c>
    </row>
    <row r="94" ht="14.25" hidden="1" customHeight="1">
      <c r="A94" s="18" t="s">
        <v>207</v>
      </c>
      <c r="B94" s="36" t="s">
        <v>208</v>
      </c>
      <c r="C94" s="12" t="s">
        <v>18</v>
      </c>
      <c r="D94" s="12" t="s">
        <v>24</v>
      </c>
      <c r="E94" s="12" t="str">
        <f t="shared" si="3"/>
        <v>2022</v>
      </c>
      <c r="F94" s="10"/>
      <c r="G94" s="10"/>
      <c r="H94" s="10"/>
      <c r="I94" s="13">
        <f t="shared" si="39"/>
        <v>0.25</v>
      </c>
      <c r="J94" s="13">
        <f t="shared" si="40"/>
        <v>0.08333333333</v>
      </c>
    </row>
    <row r="95" ht="14.25" hidden="1" customHeight="1">
      <c r="A95" s="23" t="s">
        <v>209</v>
      </c>
      <c r="B95" s="33" t="s">
        <v>210</v>
      </c>
      <c r="C95" s="12"/>
      <c r="D95" s="12"/>
      <c r="E95" s="12" t="str">
        <f t="shared" si="3"/>
        <v/>
      </c>
      <c r="F95" s="10"/>
      <c r="G95" s="13">
        <f>$F$85/3</f>
        <v>0.02564102564</v>
      </c>
      <c r="H95" s="13">
        <f>G95/$F$85</f>
        <v>0.3333333333</v>
      </c>
      <c r="I95" s="21"/>
      <c r="J95" s="21"/>
    </row>
    <row r="96" ht="14.25" hidden="1" customHeight="1">
      <c r="A96" s="18" t="s">
        <v>211</v>
      </c>
      <c r="B96" s="19" t="s">
        <v>212</v>
      </c>
      <c r="C96" s="12" t="s">
        <v>18</v>
      </c>
      <c r="D96" s="12" t="s">
        <v>52</v>
      </c>
      <c r="E96" s="12" t="str">
        <f t="shared" si="3"/>
        <v>2023</v>
      </c>
      <c r="F96" s="10"/>
      <c r="G96" s="10"/>
      <c r="H96" s="10"/>
      <c r="I96" s="13">
        <f t="shared" ref="I96:I97" si="41">1/COUNTBLANK($H$96:$H$97)</f>
        <v>0.5</v>
      </c>
      <c r="J96" s="13">
        <f t="shared" ref="J96:J97" si="42">I96*$H$95</f>
        <v>0.1666666667</v>
      </c>
    </row>
    <row r="97" ht="14.25" hidden="1" customHeight="1">
      <c r="A97" s="18" t="s">
        <v>213</v>
      </c>
      <c r="B97" s="19" t="s">
        <v>214</v>
      </c>
      <c r="C97" s="12" t="s">
        <v>18</v>
      </c>
      <c r="D97" s="12" t="s">
        <v>183</v>
      </c>
      <c r="E97" s="12" t="str">
        <f t="shared" si="3"/>
        <v>2023</v>
      </c>
      <c r="F97" s="10"/>
      <c r="G97" s="10"/>
      <c r="H97" s="10"/>
      <c r="I97" s="13">
        <f t="shared" si="41"/>
        <v>0.5</v>
      </c>
      <c r="J97" s="13">
        <f t="shared" si="42"/>
        <v>0.1666666667</v>
      </c>
    </row>
    <row r="98" ht="14.25" hidden="1" customHeight="1">
      <c r="A98" s="1" t="s">
        <v>215</v>
      </c>
      <c r="B98" s="2" t="s">
        <v>216</v>
      </c>
      <c r="C98" s="12"/>
      <c r="D98" s="12"/>
      <c r="E98" s="12" t="str">
        <f t="shared" si="3"/>
        <v/>
      </c>
      <c r="F98" s="10"/>
      <c r="G98" s="10"/>
      <c r="H98" s="10"/>
      <c r="I98" s="10"/>
      <c r="J98" s="10"/>
    </row>
    <row r="99" ht="14.25" hidden="1" customHeight="1">
      <c r="A99" s="5" t="s">
        <v>217</v>
      </c>
      <c r="B99" s="6"/>
      <c r="C99" s="12"/>
      <c r="D99" s="12"/>
      <c r="E99" s="12" t="str">
        <f t="shared" si="3"/>
        <v/>
      </c>
      <c r="F99" s="13">
        <f>F2</f>
        <v>0.07692307692</v>
      </c>
      <c r="G99" s="10"/>
      <c r="H99" s="10"/>
      <c r="I99" s="21"/>
      <c r="J99" s="21"/>
    </row>
    <row r="100" ht="14.25" hidden="1" customHeight="1">
      <c r="A100" s="23" t="s">
        <v>218</v>
      </c>
      <c r="B100" s="33" t="s">
        <v>219</v>
      </c>
      <c r="C100" s="12"/>
      <c r="D100" s="12"/>
      <c r="E100" s="12" t="str">
        <f t="shared" si="3"/>
        <v/>
      </c>
      <c r="F100" s="21"/>
      <c r="G100" s="13">
        <f>$F$99/2</f>
        <v>0.03846153846</v>
      </c>
      <c r="H100" s="13">
        <f>G100/$F$85</f>
        <v>0.5</v>
      </c>
      <c r="I100" s="21"/>
      <c r="J100" s="21"/>
    </row>
    <row r="101" ht="14.25" hidden="1" customHeight="1">
      <c r="A101" s="22" t="s">
        <v>220</v>
      </c>
      <c r="B101" s="36" t="s">
        <v>221</v>
      </c>
      <c r="C101" s="12" t="s">
        <v>18</v>
      </c>
      <c r="D101" s="12" t="s">
        <v>19</v>
      </c>
      <c r="E101" s="12" t="str">
        <f t="shared" si="3"/>
        <v>2022</v>
      </c>
      <c r="F101" s="10"/>
      <c r="G101" s="10"/>
      <c r="H101" s="10"/>
      <c r="I101" s="13">
        <f t="shared" ref="I101:I103" si="43">1/COUNTBLANK($H$101:$H$103)</f>
        <v>0.3333333333</v>
      </c>
      <c r="J101" s="13">
        <f t="shared" ref="J101:J103" si="44">I101*$F$99</f>
        <v>0.02564102564</v>
      </c>
    </row>
    <row r="102" ht="14.25" hidden="1" customHeight="1">
      <c r="A102" s="22" t="s">
        <v>222</v>
      </c>
      <c r="B102" s="36" t="s">
        <v>223</v>
      </c>
      <c r="C102" s="12" t="s">
        <v>23</v>
      </c>
      <c r="D102" s="12" t="s">
        <v>183</v>
      </c>
      <c r="E102" s="12" t="str">
        <f t="shared" si="3"/>
        <v>2023</v>
      </c>
      <c r="F102" s="10"/>
      <c r="G102" s="10"/>
      <c r="H102" s="10"/>
      <c r="I102" s="13">
        <f t="shared" si="43"/>
        <v>0.3333333333</v>
      </c>
      <c r="J102" s="13">
        <f t="shared" si="44"/>
        <v>0.02564102564</v>
      </c>
    </row>
    <row r="103" ht="14.25" hidden="1" customHeight="1">
      <c r="A103" s="22" t="s">
        <v>224</v>
      </c>
      <c r="B103" s="36" t="s">
        <v>225</v>
      </c>
      <c r="C103" s="12" t="s">
        <v>23</v>
      </c>
      <c r="D103" s="12" t="s">
        <v>183</v>
      </c>
      <c r="E103" s="12" t="str">
        <f t="shared" si="3"/>
        <v>2023</v>
      </c>
      <c r="F103" s="10"/>
      <c r="G103" s="10"/>
      <c r="H103" s="10"/>
      <c r="I103" s="13">
        <f t="shared" si="43"/>
        <v>0.3333333333</v>
      </c>
      <c r="J103" s="13">
        <f t="shared" si="44"/>
        <v>0.02564102564</v>
      </c>
    </row>
    <row r="104" ht="14.25" hidden="1" customHeight="1">
      <c r="A104" s="23" t="s">
        <v>226</v>
      </c>
      <c r="B104" s="37" t="s">
        <v>227</v>
      </c>
      <c r="C104" s="12"/>
      <c r="D104" s="12"/>
      <c r="E104" s="12" t="str">
        <f t="shared" si="3"/>
        <v/>
      </c>
      <c r="F104" s="10"/>
      <c r="G104" s="13">
        <f>$F$99/2</f>
        <v>0.03846153846</v>
      </c>
      <c r="H104" s="13">
        <f>G104/$F$85</f>
        <v>0.5</v>
      </c>
      <c r="I104" s="13"/>
      <c r="J104" s="13"/>
    </row>
    <row r="105" ht="14.25" hidden="1" customHeight="1">
      <c r="A105" s="22" t="s">
        <v>228</v>
      </c>
      <c r="B105" s="38" t="s">
        <v>229</v>
      </c>
      <c r="C105" s="12" t="s">
        <v>18</v>
      </c>
      <c r="D105" s="12" t="s">
        <v>52</v>
      </c>
      <c r="E105" s="12" t="str">
        <f t="shared" si="3"/>
        <v>2023</v>
      </c>
      <c r="F105" s="10"/>
      <c r="G105" s="10"/>
      <c r="H105" s="10"/>
      <c r="I105" s="13">
        <f t="shared" ref="I105:I107" si="45">1/COUNTBLANK($H$105:$H$107)</f>
        <v>0.3333333333</v>
      </c>
      <c r="J105" s="13">
        <f t="shared" ref="J105:J107" si="46">I105*$F$99</f>
        <v>0.02564102564</v>
      </c>
    </row>
    <row r="106" ht="14.25" hidden="1" customHeight="1">
      <c r="A106" s="22" t="s">
        <v>230</v>
      </c>
      <c r="B106" s="38" t="s">
        <v>231</v>
      </c>
      <c r="C106" s="12" t="s">
        <v>18</v>
      </c>
      <c r="D106" s="12" t="s">
        <v>52</v>
      </c>
      <c r="E106" s="12" t="str">
        <f t="shared" si="3"/>
        <v>2023</v>
      </c>
      <c r="F106" s="10"/>
      <c r="G106" s="10"/>
      <c r="H106" s="10"/>
      <c r="I106" s="13">
        <f t="shared" si="45"/>
        <v>0.3333333333</v>
      </c>
      <c r="J106" s="13">
        <f t="shared" si="46"/>
        <v>0.02564102564</v>
      </c>
    </row>
    <row r="107" ht="14.25" hidden="1" customHeight="1">
      <c r="A107" s="22" t="s">
        <v>232</v>
      </c>
      <c r="B107" s="38" t="s">
        <v>233</v>
      </c>
      <c r="C107" s="12" t="s">
        <v>18</v>
      </c>
      <c r="D107" s="12" t="s">
        <v>52</v>
      </c>
      <c r="E107" s="12" t="str">
        <f t="shared" si="3"/>
        <v>2023</v>
      </c>
      <c r="F107" s="10"/>
      <c r="G107" s="10"/>
      <c r="H107" s="10"/>
      <c r="I107" s="13">
        <f t="shared" si="45"/>
        <v>0.3333333333</v>
      </c>
      <c r="J107" s="13">
        <f t="shared" si="46"/>
        <v>0.02564102564</v>
      </c>
    </row>
    <row r="108" ht="14.25" hidden="1" customHeight="1">
      <c r="A108" s="5" t="s">
        <v>234</v>
      </c>
      <c r="B108" s="6"/>
      <c r="C108" s="12"/>
      <c r="D108" s="12"/>
      <c r="E108" s="12" t="str">
        <f t="shared" si="3"/>
        <v/>
      </c>
      <c r="F108" s="13">
        <f>F2</f>
        <v>0.07692307692</v>
      </c>
      <c r="G108" s="10"/>
      <c r="H108" s="10"/>
      <c r="I108" s="21"/>
      <c r="J108" s="21"/>
    </row>
    <row r="109" ht="14.25" hidden="1" customHeight="1">
      <c r="A109" s="22" t="s">
        <v>235</v>
      </c>
      <c r="B109" s="36" t="s">
        <v>236</v>
      </c>
      <c r="C109" s="12" t="s">
        <v>18</v>
      </c>
      <c r="D109" s="12" t="s">
        <v>52</v>
      </c>
      <c r="E109" s="12" t="str">
        <f t="shared" si="3"/>
        <v>2023</v>
      </c>
      <c r="F109" s="10"/>
      <c r="G109" s="10"/>
      <c r="H109" s="10"/>
      <c r="I109" s="13">
        <f t="shared" ref="I109:I113" si="47">1/COUNTBLANK($H$109:$H$113)</f>
        <v>0.2</v>
      </c>
      <c r="J109" s="13">
        <f t="shared" ref="J109:J113" si="48">I109*$F$108</f>
        <v>0.01538461538</v>
      </c>
    </row>
    <row r="110" ht="14.25" hidden="1" customHeight="1">
      <c r="A110" s="22" t="s">
        <v>237</v>
      </c>
      <c r="B110" s="36" t="s">
        <v>238</v>
      </c>
      <c r="C110" s="12" t="s">
        <v>23</v>
      </c>
      <c r="D110" s="12" t="s">
        <v>52</v>
      </c>
      <c r="E110" s="12" t="str">
        <f t="shared" si="3"/>
        <v>2023</v>
      </c>
      <c r="F110" s="10"/>
      <c r="G110" s="21"/>
      <c r="H110" s="21"/>
      <c r="I110" s="13">
        <f t="shared" si="47"/>
        <v>0.2</v>
      </c>
      <c r="J110" s="13">
        <f t="shared" si="48"/>
        <v>0.01538461538</v>
      </c>
    </row>
    <row r="111" ht="14.25" hidden="1" customHeight="1">
      <c r="A111" s="22" t="s">
        <v>239</v>
      </c>
      <c r="B111" s="19" t="s">
        <v>240</v>
      </c>
      <c r="C111" s="12" t="s">
        <v>18</v>
      </c>
      <c r="D111" s="12" t="s">
        <v>52</v>
      </c>
      <c r="E111" s="12" t="str">
        <f t="shared" si="3"/>
        <v>2023</v>
      </c>
      <c r="F111" s="10"/>
      <c r="G111" s="21"/>
      <c r="H111" s="21"/>
      <c r="I111" s="13">
        <f t="shared" si="47"/>
        <v>0.2</v>
      </c>
      <c r="J111" s="13">
        <f t="shared" si="48"/>
        <v>0.01538461538</v>
      </c>
    </row>
    <row r="112" ht="14.25" hidden="1" customHeight="1">
      <c r="A112" s="22" t="s">
        <v>241</v>
      </c>
      <c r="B112" s="39" t="s">
        <v>242</v>
      </c>
      <c r="C112" s="12" t="s">
        <v>23</v>
      </c>
      <c r="D112" s="12" t="s">
        <v>52</v>
      </c>
      <c r="E112" s="12" t="str">
        <f t="shared" si="3"/>
        <v>2023</v>
      </c>
      <c r="F112" s="10"/>
      <c r="G112" s="21"/>
      <c r="H112" s="21"/>
      <c r="I112" s="13">
        <f t="shared" si="47"/>
        <v>0.2</v>
      </c>
      <c r="J112" s="13">
        <f t="shared" si="48"/>
        <v>0.01538461538</v>
      </c>
    </row>
    <row r="113" ht="14.25" hidden="1" customHeight="1">
      <c r="A113" s="22" t="s">
        <v>243</v>
      </c>
      <c r="B113" s="36" t="s">
        <v>244</v>
      </c>
      <c r="C113" s="12" t="s">
        <v>23</v>
      </c>
      <c r="D113" s="12" t="s">
        <v>52</v>
      </c>
      <c r="E113" s="12" t="str">
        <f t="shared" si="3"/>
        <v>2023</v>
      </c>
      <c r="F113" s="10"/>
      <c r="G113" s="21"/>
      <c r="H113" s="21"/>
      <c r="I113" s="13">
        <f t="shared" si="47"/>
        <v>0.2</v>
      </c>
      <c r="J113" s="13">
        <f t="shared" si="48"/>
        <v>0.01538461538</v>
      </c>
    </row>
    <row r="114" ht="14.25" hidden="1" customHeight="1">
      <c r="A114" s="5" t="s">
        <v>245</v>
      </c>
      <c r="B114" s="6"/>
      <c r="C114" s="12"/>
      <c r="D114" s="12"/>
      <c r="E114" s="12" t="str">
        <f t="shared" si="3"/>
        <v/>
      </c>
      <c r="F114" s="13">
        <f>F2</f>
        <v>0.07692307692</v>
      </c>
      <c r="G114" s="10"/>
      <c r="H114" s="10"/>
      <c r="I114" s="21"/>
      <c r="J114" s="21"/>
    </row>
    <row r="115" ht="14.25" hidden="1" customHeight="1">
      <c r="A115" s="22" t="s">
        <v>246</v>
      </c>
      <c r="B115" s="36" t="s">
        <v>247</v>
      </c>
      <c r="C115" s="12" t="s">
        <v>18</v>
      </c>
      <c r="D115" s="12" t="s">
        <v>52</v>
      </c>
      <c r="E115" s="12" t="str">
        <f t="shared" si="3"/>
        <v>2023</v>
      </c>
      <c r="F115" s="10"/>
      <c r="G115" s="10"/>
      <c r="H115" s="10"/>
      <c r="I115" s="13">
        <f t="shared" ref="I115:I118" si="49">1/COUNTBLANK($H$115:$H$118)</f>
        <v>0.25</v>
      </c>
      <c r="J115" s="13">
        <f t="shared" ref="J115:J118" si="50">I115*$F$114</f>
        <v>0.01923076923</v>
      </c>
    </row>
    <row r="116" ht="14.25" hidden="1" customHeight="1">
      <c r="A116" s="22" t="s">
        <v>248</v>
      </c>
      <c r="B116" s="36" t="s">
        <v>249</v>
      </c>
      <c r="C116" s="12" t="s">
        <v>18</v>
      </c>
      <c r="D116" s="12" t="s">
        <v>52</v>
      </c>
      <c r="E116" s="12" t="str">
        <f t="shared" si="3"/>
        <v>2023</v>
      </c>
      <c r="F116" s="10"/>
      <c r="G116" s="21"/>
      <c r="H116" s="21"/>
      <c r="I116" s="13">
        <f t="shared" si="49"/>
        <v>0.25</v>
      </c>
      <c r="J116" s="13">
        <f t="shared" si="50"/>
        <v>0.01923076923</v>
      </c>
    </row>
    <row r="117" ht="14.25" hidden="1" customHeight="1">
      <c r="A117" s="22" t="s">
        <v>250</v>
      </c>
      <c r="B117" s="36" t="s">
        <v>251</v>
      </c>
      <c r="C117" s="12" t="s">
        <v>18</v>
      </c>
      <c r="D117" s="12" t="s">
        <v>35</v>
      </c>
      <c r="E117" s="12" t="str">
        <f t="shared" si="3"/>
        <v>2022</v>
      </c>
      <c r="F117" s="10"/>
      <c r="G117" s="21"/>
      <c r="H117" s="21"/>
      <c r="I117" s="13">
        <f t="shared" si="49"/>
        <v>0.25</v>
      </c>
      <c r="J117" s="13">
        <f t="shared" si="50"/>
        <v>0.01923076923</v>
      </c>
    </row>
    <row r="118" ht="14.25" hidden="1" customHeight="1">
      <c r="A118" s="22" t="s">
        <v>252</v>
      </c>
      <c r="B118" s="19" t="s">
        <v>253</v>
      </c>
      <c r="C118" s="12" t="s">
        <v>18</v>
      </c>
      <c r="D118" s="12" t="s">
        <v>35</v>
      </c>
      <c r="E118" s="12" t="str">
        <f t="shared" si="3"/>
        <v>2022</v>
      </c>
      <c r="F118" s="10"/>
      <c r="G118" s="21"/>
      <c r="H118" s="21"/>
      <c r="I118" s="13">
        <f t="shared" si="49"/>
        <v>0.25</v>
      </c>
      <c r="J118" s="13">
        <f t="shared" si="50"/>
        <v>0.01923076923</v>
      </c>
    </row>
    <row r="119" ht="14.25" hidden="1" customHeight="1">
      <c r="A119" s="5" t="s">
        <v>254</v>
      </c>
      <c r="B119" s="6"/>
      <c r="C119" s="12"/>
      <c r="D119" s="12"/>
      <c r="E119" s="12" t="str">
        <f t="shared" si="3"/>
        <v/>
      </c>
      <c r="F119" s="13">
        <f>F2</f>
        <v>0.07692307692</v>
      </c>
      <c r="G119" s="10"/>
      <c r="H119" s="10"/>
      <c r="I119" s="21"/>
      <c r="J119" s="21"/>
    </row>
    <row r="120" ht="14.25" hidden="1" customHeight="1">
      <c r="A120" s="23" t="s">
        <v>255</v>
      </c>
      <c r="B120" s="33" t="s">
        <v>256</v>
      </c>
      <c r="C120" s="12"/>
      <c r="D120" s="12"/>
      <c r="E120" s="12" t="str">
        <f t="shared" si="3"/>
        <v/>
      </c>
      <c r="F120" s="10"/>
      <c r="G120" s="13">
        <f>$F$119/2</f>
        <v>0.03846153846</v>
      </c>
      <c r="H120" s="13">
        <f>G120/$F$119</f>
        <v>0.5</v>
      </c>
      <c r="I120" s="21"/>
      <c r="J120" s="21"/>
    </row>
    <row r="121" ht="14.25" hidden="1" customHeight="1">
      <c r="A121" s="22" t="s">
        <v>257</v>
      </c>
      <c r="B121" s="36" t="s">
        <v>258</v>
      </c>
      <c r="C121" s="12" t="s">
        <v>18</v>
      </c>
      <c r="D121" s="12" t="s">
        <v>35</v>
      </c>
      <c r="E121" s="12" t="str">
        <f t="shared" si="3"/>
        <v>2022</v>
      </c>
      <c r="F121" s="10"/>
      <c r="G121" s="10"/>
      <c r="H121" s="10"/>
      <c r="I121" s="13">
        <f>1/COUNTBLANK($H$121)</f>
        <v>1</v>
      </c>
      <c r="J121" s="13">
        <f>I121*$H$120</f>
        <v>0.5</v>
      </c>
    </row>
    <row r="122" ht="14.25" hidden="1" customHeight="1">
      <c r="A122" s="23" t="s">
        <v>259</v>
      </c>
      <c r="B122" s="33" t="s">
        <v>260</v>
      </c>
      <c r="C122" s="12"/>
      <c r="D122" s="12"/>
      <c r="E122" s="12" t="str">
        <f t="shared" si="3"/>
        <v/>
      </c>
      <c r="F122" s="10"/>
      <c r="G122" s="13">
        <f>$F$119/2</f>
        <v>0.03846153846</v>
      </c>
      <c r="H122" s="13">
        <f>G122/$F$119</f>
        <v>0.5</v>
      </c>
      <c r="I122" s="21"/>
      <c r="J122" s="21"/>
    </row>
    <row r="123" ht="14.25" hidden="1" customHeight="1">
      <c r="A123" s="22" t="s">
        <v>261</v>
      </c>
      <c r="B123" s="36" t="s">
        <v>262</v>
      </c>
      <c r="C123" s="12" t="s">
        <v>18</v>
      </c>
      <c r="D123" s="12" t="s">
        <v>52</v>
      </c>
      <c r="E123" s="12" t="str">
        <f t="shared" si="3"/>
        <v>2023</v>
      </c>
      <c r="F123" s="10"/>
      <c r="G123" s="21"/>
      <c r="H123" s="21"/>
      <c r="I123" s="13">
        <f t="shared" ref="I123:I124" si="51">1/COUNTBLANK($H$123:$H$124)</f>
        <v>0.5</v>
      </c>
      <c r="J123" s="13">
        <f t="shared" ref="J123:J124" si="52">I123*$H$122</f>
        <v>0.25</v>
      </c>
    </row>
    <row r="124" ht="14.25" hidden="1" customHeight="1">
      <c r="A124" s="22" t="s">
        <v>263</v>
      </c>
      <c r="B124" s="36" t="s">
        <v>264</v>
      </c>
      <c r="C124" s="12" t="s">
        <v>18</v>
      </c>
      <c r="D124" s="12" t="s">
        <v>35</v>
      </c>
      <c r="E124" s="12" t="str">
        <f t="shared" si="3"/>
        <v>2022</v>
      </c>
      <c r="F124" s="10"/>
      <c r="G124" s="21"/>
      <c r="H124" s="21"/>
      <c r="I124" s="13">
        <f t="shared" si="51"/>
        <v>0.5</v>
      </c>
      <c r="J124" s="13">
        <f t="shared" si="52"/>
        <v>0.25</v>
      </c>
    </row>
    <row r="125" ht="14.25" hidden="1" customHeight="1">
      <c r="A125" s="1" t="s">
        <v>265</v>
      </c>
      <c r="B125" s="2" t="s">
        <v>266</v>
      </c>
      <c r="C125" s="12"/>
      <c r="D125" s="12"/>
      <c r="E125" s="12" t="str">
        <f t="shared" si="3"/>
        <v/>
      </c>
      <c r="F125" s="10"/>
      <c r="G125" s="10"/>
      <c r="H125" s="10"/>
      <c r="I125" s="21"/>
      <c r="J125" s="21"/>
    </row>
    <row r="126" ht="14.25" hidden="1" customHeight="1">
      <c r="A126" s="5" t="s">
        <v>267</v>
      </c>
      <c r="B126" s="6"/>
      <c r="C126" s="12"/>
      <c r="D126" s="12"/>
      <c r="E126" s="12" t="str">
        <f t="shared" si="3"/>
        <v/>
      </c>
      <c r="F126" s="13">
        <f>F2</f>
        <v>0.07692307692</v>
      </c>
      <c r="G126" s="10"/>
      <c r="H126" s="10"/>
      <c r="I126" s="21"/>
      <c r="J126" s="21"/>
    </row>
    <row r="127" ht="14.25" hidden="1" customHeight="1">
      <c r="A127" s="22" t="s">
        <v>268</v>
      </c>
      <c r="B127" s="38" t="s">
        <v>269</v>
      </c>
      <c r="C127" s="12" t="s">
        <v>23</v>
      </c>
      <c r="D127" s="12" t="s">
        <v>52</v>
      </c>
      <c r="E127" s="12" t="str">
        <f t="shared" si="3"/>
        <v>2023</v>
      </c>
      <c r="F127" s="10"/>
      <c r="G127" s="21"/>
      <c r="H127" s="21"/>
      <c r="I127" s="13">
        <f t="shared" ref="I127:I128" si="53">1/COUNTBLANK($H$127:$H$128)</f>
        <v>0.5</v>
      </c>
      <c r="J127" s="13">
        <f>I127*F126</f>
        <v>0.03846153846</v>
      </c>
    </row>
    <row r="128" ht="14.25" hidden="1" customHeight="1">
      <c r="A128" s="22" t="s">
        <v>270</v>
      </c>
      <c r="B128" s="38" t="s">
        <v>271</v>
      </c>
      <c r="C128" s="12" t="s">
        <v>23</v>
      </c>
      <c r="D128" s="12" t="s">
        <v>52</v>
      </c>
      <c r="E128" s="12" t="str">
        <f t="shared" si="3"/>
        <v>2023</v>
      </c>
      <c r="F128" s="10"/>
      <c r="G128" s="10"/>
      <c r="H128" s="10"/>
      <c r="I128" s="13">
        <f t="shared" si="53"/>
        <v>0.5</v>
      </c>
      <c r="J128" s="13">
        <f>I128*F126</f>
        <v>0.03846153846</v>
      </c>
    </row>
    <row r="129" ht="14.25" customHeight="1">
      <c r="A129" s="5" t="s">
        <v>272</v>
      </c>
      <c r="B129" s="6"/>
      <c r="C129" s="12"/>
      <c r="D129" s="12"/>
      <c r="E129" s="12" t="str">
        <f t="shared" si="3"/>
        <v/>
      </c>
      <c r="F129" s="13">
        <f>F2</f>
        <v>0.07692307692</v>
      </c>
      <c r="G129" s="10"/>
      <c r="H129" s="10"/>
      <c r="I129" s="21"/>
      <c r="J129" s="21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ht="14.25" customHeight="1">
      <c r="A130" s="23" t="s">
        <v>273</v>
      </c>
      <c r="B130" s="37" t="s">
        <v>274</v>
      </c>
      <c r="C130" s="12"/>
      <c r="D130" s="12"/>
      <c r="E130" s="12" t="str">
        <f t="shared" si="3"/>
        <v/>
      </c>
      <c r="F130" s="10"/>
      <c r="G130" s="13">
        <f>$F$129/2</f>
        <v>0.03846153846</v>
      </c>
      <c r="H130" s="13">
        <f>G130/$F$129</f>
        <v>0.5</v>
      </c>
      <c r="I130" s="21"/>
      <c r="J130" s="21"/>
    </row>
    <row r="131" ht="14.25" customHeight="1">
      <c r="A131" s="18" t="s">
        <v>275</v>
      </c>
      <c r="B131" s="19" t="s">
        <v>276</v>
      </c>
      <c r="C131" s="12" t="s">
        <v>18</v>
      </c>
      <c r="D131" s="12" t="s">
        <v>35</v>
      </c>
      <c r="E131" s="12" t="str">
        <f t="shared" si="3"/>
        <v>2022</v>
      </c>
      <c r="F131" s="10"/>
      <c r="G131" s="10"/>
      <c r="H131" s="10"/>
      <c r="I131" s="13">
        <f t="shared" ref="I131:I135" si="54">1/COUNTBLANK($H$131:$H$135)</f>
        <v>0.2</v>
      </c>
      <c r="J131" s="13">
        <f t="shared" ref="J131:J135" si="55">I131*$H$130</f>
        <v>0.1</v>
      </c>
    </row>
    <row r="132" ht="14.25" customHeight="1">
      <c r="A132" s="18" t="s">
        <v>277</v>
      </c>
      <c r="B132" s="19" t="s">
        <v>278</v>
      </c>
      <c r="C132" s="12" t="s">
        <v>18</v>
      </c>
      <c r="D132" s="12" t="s">
        <v>35</v>
      </c>
      <c r="E132" s="12" t="str">
        <f t="shared" si="3"/>
        <v>2022</v>
      </c>
      <c r="F132" s="10"/>
      <c r="G132" s="10"/>
      <c r="H132" s="10"/>
      <c r="I132" s="13">
        <f t="shared" si="54"/>
        <v>0.2</v>
      </c>
      <c r="J132" s="13">
        <f t="shared" si="55"/>
        <v>0.1</v>
      </c>
    </row>
    <row r="133" ht="14.25" customHeight="1">
      <c r="A133" s="18" t="s">
        <v>279</v>
      </c>
      <c r="B133" s="19" t="s">
        <v>280</v>
      </c>
      <c r="C133" s="12" t="s">
        <v>18</v>
      </c>
      <c r="D133" s="12" t="s">
        <v>35</v>
      </c>
      <c r="E133" s="12" t="str">
        <f t="shared" si="3"/>
        <v>2022</v>
      </c>
      <c r="F133" s="10"/>
      <c r="G133" s="21"/>
      <c r="H133" s="21"/>
      <c r="I133" s="13">
        <f t="shared" si="54"/>
        <v>0.2</v>
      </c>
      <c r="J133" s="13">
        <f t="shared" si="55"/>
        <v>0.1</v>
      </c>
    </row>
    <row r="134" ht="14.25" customHeight="1">
      <c r="A134" s="18" t="s">
        <v>281</v>
      </c>
      <c r="B134" s="19" t="s">
        <v>282</v>
      </c>
      <c r="C134" s="12" t="s">
        <v>18</v>
      </c>
      <c r="D134" s="12" t="s">
        <v>159</v>
      </c>
      <c r="E134" s="12" t="str">
        <f t="shared" si="3"/>
        <v>2021</v>
      </c>
      <c r="F134" s="10"/>
      <c r="G134" s="21"/>
      <c r="H134" s="21"/>
      <c r="I134" s="13">
        <f t="shared" si="54"/>
        <v>0.2</v>
      </c>
      <c r="J134" s="13">
        <f t="shared" si="55"/>
        <v>0.1</v>
      </c>
    </row>
    <row r="135" ht="14.25" customHeight="1">
      <c r="A135" s="18" t="s">
        <v>283</v>
      </c>
      <c r="B135" s="19" t="s">
        <v>284</v>
      </c>
      <c r="C135" s="12" t="s">
        <v>18</v>
      </c>
      <c r="D135" s="12" t="s">
        <v>52</v>
      </c>
      <c r="E135" s="12" t="str">
        <f t="shared" si="3"/>
        <v>2023</v>
      </c>
      <c r="F135" s="10"/>
      <c r="G135" s="21"/>
      <c r="H135" s="21"/>
      <c r="I135" s="13">
        <f t="shared" si="54"/>
        <v>0.2</v>
      </c>
      <c r="J135" s="13">
        <f t="shared" si="55"/>
        <v>0.1</v>
      </c>
    </row>
    <row r="136" ht="14.25" customHeight="1">
      <c r="A136" s="23" t="s">
        <v>285</v>
      </c>
      <c r="B136" s="37" t="s">
        <v>286</v>
      </c>
      <c r="C136" s="12"/>
      <c r="D136" s="12"/>
      <c r="E136" s="12" t="str">
        <f t="shared" si="3"/>
        <v/>
      </c>
      <c r="F136" s="10"/>
      <c r="G136" s="13">
        <f>$F$129/2</f>
        <v>0.03846153846</v>
      </c>
      <c r="H136" s="13">
        <f>G136/$F$129</f>
        <v>0.5</v>
      </c>
      <c r="I136" s="21"/>
      <c r="J136" s="21"/>
    </row>
    <row r="137" ht="14.25" customHeight="1">
      <c r="A137" s="22" t="s">
        <v>287</v>
      </c>
      <c r="B137" s="38" t="s">
        <v>288</v>
      </c>
      <c r="C137" s="12" t="s">
        <v>18</v>
      </c>
      <c r="D137" s="12" t="s">
        <v>52</v>
      </c>
      <c r="E137" s="12" t="str">
        <f t="shared" si="3"/>
        <v>2023</v>
      </c>
      <c r="F137" s="10"/>
      <c r="G137" s="10"/>
      <c r="H137" s="10"/>
      <c r="I137" s="13">
        <f t="shared" ref="I137:I140" si="56">1/COUNTBLANK($H$137:$H$140)</f>
        <v>0.25</v>
      </c>
      <c r="J137" s="13">
        <f t="shared" ref="J137:J140" si="57">I137*$H$136</f>
        <v>0.125</v>
      </c>
    </row>
    <row r="138" ht="14.25" customHeight="1">
      <c r="A138" s="22" t="s">
        <v>289</v>
      </c>
      <c r="B138" s="19" t="s">
        <v>290</v>
      </c>
      <c r="C138" s="12" t="s">
        <v>18</v>
      </c>
      <c r="D138" s="12" t="s">
        <v>52</v>
      </c>
      <c r="E138" s="12" t="str">
        <f t="shared" si="3"/>
        <v>2023</v>
      </c>
      <c r="F138" s="10"/>
      <c r="G138" s="10"/>
      <c r="H138" s="10"/>
      <c r="I138" s="13">
        <f t="shared" si="56"/>
        <v>0.25</v>
      </c>
      <c r="J138" s="13">
        <f t="shared" si="57"/>
        <v>0.125</v>
      </c>
    </row>
    <row r="139" ht="14.25" customHeight="1">
      <c r="A139" s="22" t="s">
        <v>291</v>
      </c>
      <c r="B139" s="19" t="s">
        <v>292</v>
      </c>
      <c r="C139" s="12" t="s">
        <v>18</v>
      </c>
      <c r="D139" s="12" t="s">
        <v>52</v>
      </c>
      <c r="E139" s="12" t="str">
        <f t="shared" si="3"/>
        <v>2023</v>
      </c>
      <c r="F139" s="10"/>
      <c r="G139" s="10"/>
      <c r="H139" s="10"/>
      <c r="I139" s="13">
        <f t="shared" si="56"/>
        <v>0.25</v>
      </c>
      <c r="J139" s="13">
        <f t="shared" si="57"/>
        <v>0.125</v>
      </c>
    </row>
    <row r="140" ht="14.25" customHeight="1">
      <c r="A140" s="22" t="s">
        <v>293</v>
      </c>
      <c r="B140" s="19" t="s">
        <v>294</v>
      </c>
      <c r="C140" s="12" t="s">
        <v>18</v>
      </c>
      <c r="D140" s="12" t="s">
        <v>52</v>
      </c>
      <c r="E140" s="12" t="str">
        <f t="shared" si="3"/>
        <v>2023</v>
      </c>
      <c r="F140" s="10"/>
      <c r="G140" s="10"/>
      <c r="H140" s="10"/>
      <c r="I140" s="13">
        <f t="shared" si="56"/>
        <v>0.25</v>
      </c>
      <c r="J140" s="13">
        <f t="shared" si="57"/>
        <v>0.125</v>
      </c>
    </row>
    <row r="141" ht="14.25" customHeight="1">
      <c r="A141" s="41"/>
      <c r="B141" s="16"/>
      <c r="C141" s="10"/>
      <c r="D141" s="10"/>
      <c r="E141" s="10"/>
      <c r="F141" s="10"/>
      <c r="G141" s="10"/>
      <c r="H141" s="10"/>
      <c r="I141" s="10"/>
      <c r="J141" s="10"/>
    </row>
    <row r="142" ht="14.25" customHeight="1">
      <c r="A142" s="41"/>
      <c r="B142" s="16"/>
      <c r="C142" s="10"/>
      <c r="D142" s="10"/>
      <c r="E142" s="10"/>
      <c r="F142" s="10"/>
      <c r="G142" s="10"/>
      <c r="H142" s="10"/>
      <c r="I142" s="10"/>
      <c r="J142" s="10"/>
    </row>
    <row r="143" ht="14.25" customHeight="1">
      <c r="A143" s="41"/>
      <c r="B143" s="16"/>
      <c r="C143" s="10"/>
      <c r="D143" s="10"/>
      <c r="E143" s="10"/>
      <c r="F143" s="10"/>
      <c r="G143" s="10"/>
      <c r="H143" s="10"/>
      <c r="I143" s="10"/>
      <c r="J143" s="10"/>
    </row>
    <row r="144" ht="14.25" customHeight="1">
      <c r="A144" s="41"/>
      <c r="B144" s="16"/>
      <c r="C144" s="10"/>
      <c r="D144" s="10"/>
      <c r="E144" s="10"/>
      <c r="F144" s="10"/>
      <c r="G144" s="10"/>
      <c r="H144" s="10"/>
      <c r="I144" s="10"/>
      <c r="J144" s="10"/>
    </row>
    <row r="145" ht="14.25" customHeight="1">
      <c r="A145" s="41"/>
      <c r="B145" s="16"/>
      <c r="C145" s="10"/>
      <c r="D145" s="10"/>
      <c r="E145" s="10"/>
      <c r="F145" s="10"/>
      <c r="G145" s="10"/>
      <c r="H145" s="10"/>
      <c r="I145" s="10"/>
      <c r="J145" s="10"/>
    </row>
    <row r="146" ht="14.25" customHeight="1">
      <c r="A146" s="41"/>
      <c r="B146" s="16"/>
      <c r="C146" s="10"/>
      <c r="D146" s="10"/>
      <c r="E146" s="10"/>
      <c r="F146" s="10"/>
      <c r="G146" s="10"/>
      <c r="H146" s="10"/>
      <c r="I146" s="10"/>
      <c r="J146" s="10"/>
    </row>
    <row r="147" ht="14.25" customHeight="1">
      <c r="A147" s="41"/>
      <c r="B147" s="16"/>
      <c r="C147" s="10"/>
      <c r="D147" s="10"/>
      <c r="E147" s="10"/>
      <c r="F147" s="10"/>
      <c r="G147" s="10"/>
      <c r="H147" s="10"/>
      <c r="I147" s="10"/>
      <c r="J147" s="10"/>
    </row>
    <row r="148" ht="14.25" customHeight="1">
      <c r="A148" s="41"/>
      <c r="B148" s="16"/>
      <c r="C148" s="10"/>
      <c r="D148" s="10"/>
      <c r="E148" s="10"/>
      <c r="F148" s="10"/>
      <c r="G148" s="10"/>
      <c r="H148" s="10"/>
      <c r="I148" s="10"/>
      <c r="J148" s="10"/>
    </row>
    <row r="149" ht="14.25" customHeight="1">
      <c r="A149" s="41"/>
      <c r="B149" s="16"/>
      <c r="C149" s="10"/>
      <c r="D149" s="10"/>
      <c r="E149" s="10"/>
      <c r="F149" s="10"/>
      <c r="G149" s="10"/>
      <c r="H149" s="10"/>
      <c r="I149" s="10"/>
      <c r="J149" s="10"/>
    </row>
    <row r="150" ht="14.25" customHeight="1">
      <c r="A150" s="41"/>
      <c r="B150" s="16"/>
      <c r="C150" s="10"/>
      <c r="D150" s="10"/>
      <c r="E150" s="10"/>
      <c r="F150" s="10"/>
      <c r="G150" s="10"/>
      <c r="H150" s="10"/>
      <c r="I150" s="10"/>
      <c r="J150" s="10"/>
    </row>
    <row r="151" ht="14.25" customHeight="1">
      <c r="A151" s="41"/>
      <c r="B151" s="16"/>
      <c r="C151" s="10"/>
      <c r="D151" s="10"/>
      <c r="E151" s="10"/>
      <c r="F151" s="10"/>
      <c r="G151" s="10"/>
      <c r="H151" s="10"/>
      <c r="I151" s="10"/>
      <c r="J151" s="10"/>
    </row>
    <row r="152" ht="14.25" customHeight="1">
      <c r="A152" s="41"/>
      <c r="B152" s="16"/>
      <c r="C152" s="10"/>
      <c r="D152" s="10"/>
      <c r="E152" s="10"/>
      <c r="F152" s="10"/>
      <c r="G152" s="10"/>
      <c r="H152" s="10"/>
      <c r="I152" s="10"/>
      <c r="J152" s="10"/>
    </row>
    <row r="153" ht="14.25" customHeight="1">
      <c r="A153" s="41"/>
      <c r="B153" s="16"/>
      <c r="C153" s="10"/>
      <c r="D153" s="10"/>
      <c r="E153" s="10"/>
      <c r="F153" s="10"/>
      <c r="G153" s="10"/>
      <c r="H153" s="10"/>
      <c r="I153" s="10"/>
      <c r="J153" s="10"/>
    </row>
    <row r="154" ht="14.25" customHeight="1">
      <c r="A154" s="41"/>
      <c r="B154" s="16"/>
      <c r="C154" s="10"/>
      <c r="D154" s="10"/>
      <c r="E154" s="10"/>
      <c r="F154" s="10"/>
      <c r="G154" s="10"/>
      <c r="H154" s="10"/>
      <c r="I154" s="10"/>
      <c r="J154" s="10"/>
    </row>
    <row r="155" ht="14.25" customHeight="1">
      <c r="A155" s="41"/>
      <c r="B155" s="16"/>
      <c r="C155" s="10"/>
      <c r="D155" s="10"/>
      <c r="E155" s="10"/>
      <c r="F155" s="10"/>
      <c r="G155" s="10"/>
      <c r="H155" s="10"/>
      <c r="I155" s="10"/>
      <c r="J155" s="10"/>
    </row>
    <row r="156" ht="14.25" customHeight="1">
      <c r="A156" s="41"/>
      <c r="B156" s="16"/>
      <c r="C156" s="10"/>
      <c r="D156" s="10"/>
      <c r="E156" s="10"/>
      <c r="F156" s="10"/>
      <c r="G156" s="10"/>
      <c r="H156" s="10"/>
      <c r="I156" s="10"/>
      <c r="J156" s="10"/>
    </row>
    <row r="157" ht="14.25" customHeight="1">
      <c r="A157" s="41"/>
      <c r="B157" s="16"/>
      <c r="C157" s="10"/>
      <c r="D157" s="10"/>
      <c r="E157" s="10"/>
      <c r="F157" s="10"/>
      <c r="G157" s="10"/>
      <c r="H157" s="10"/>
      <c r="I157" s="10"/>
      <c r="J157" s="10"/>
    </row>
    <row r="158" ht="14.25" customHeight="1">
      <c r="A158" s="41"/>
      <c r="B158" s="16"/>
      <c r="C158" s="10"/>
      <c r="D158" s="10"/>
      <c r="E158" s="10"/>
      <c r="F158" s="10"/>
      <c r="G158" s="10"/>
      <c r="H158" s="10"/>
      <c r="I158" s="10"/>
      <c r="J158" s="10"/>
    </row>
    <row r="159" ht="14.25" customHeight="1">
      <c r="A159" s="41"/>
      <c r="B159" s="16"/>
      <c r="C159" s="10"/>
      <c r="D159" s="10"/>
      <c r="E159" s="10"/>
      <c r="F159" s="10"/>
      <c r="G159" s="10"/>
      <c r="H159" s="10"/>
      <c r="I159" s="10"/>
      <c r="J159" s="10"/>
    </row>
    <row r="160" ht="14.25" customHeight="1">
      <c r="A160" s="41"/>
      <c r="B160" s="16"/>
      <c r="C160" s="10"/>
      <c r="D160" s="10"/>
      <c r="E160" s="10"/>
      <c r="F160" s="10"/>
      <c r="G160" s="10"/>
      <c r="H160" s="10"/>
      <c r="I160" s="10"/>
      <c r="J160" s="10"/>
    </row>
    <row r="161" ht="14.25" customHeight="1">
      <c r="A161" s="41"/>
      <c r="B161" s="16"/>
      <c r="C161" s="10"/>
      <c r="D161" s="10"/>
      <c r="E161" s="10"/>
      <c r="F161" s="10"/>
      <c r="G161" s="10"/>
      <c r="H161" s="10"/>
      <c r="I161" s="10"/>
      <c r="J161" s="10"/>
    </row>
    <row r="162" ht="14.25" customHeight="1">
      <c r="A162" s="41"/>
      <c r="B162" s="16"/>
      <c r="C162" s="10"/>
      <c r="D162" s="10"/>
      <c r="E162" s="10"/>
      <c r="F162" s="10"/>
      <c r="G162" s="10"/>
      <c r="H162" s="10"/>
      <c r="I162" s="10"/>
      <c r="J162" s="10"/>
    </row>
    <row r="163" ht="14.25" customHeight="1">
      <c r="A163" s="41"/>
      <c r="B163" s="16"/>
      <c r="C163" s="10"/>
      <c r="D163" s="10"/>
      <c r="E163" s="10"/>
      <c r="F163" s="10"/>
      <c r="G163" s="10"/>
      <c r="H163" s="10"/>
      <c r="I163" s="10"/>
      <c r="J163" s="10"/>
    </row>
    <row r="164" ht="14.25" customHeight="1">
      <c r="A164" s="41"/>
      <c r="B164" s="16"/>
      <c r="C164" s="10"/>
      <c r="D164" s="10"/>
      <c r="E164" s="10"/>
      <c r="F164" s="10"/>
      <c r="G164" s="10"/>
      <c r="H164" s="10"/>
      <c r="I164" s="10"/>
      <c r="J164" s="10"/>
    </row>
    <row r="165" ht="14.25" customHeight="1">
      <c r="A165" s="41"/>
      <c r="B165" s="16"/>
      <c r="C165" s="10"/>
      <c r="D165" s="10"/>
      <c r="E165" s="10"/>
      <c r="F165" s="10"/>
      <c r="G165" s="10"/>
      <c r="H165" s="10"/>
      <c r="I165" s="10"/>
      <c r="J165" s="10"/>
    </row>
    <row r="166" ht="14.25" customHeight="1">
      <c r="A166" s="41"/>
      <c r="B166" s="16"/>
      <c r="C166" s="10"/>
      <c r="D166" s="10"/>
      <c r="E166" s="10"/>
      <c r="F166" s="10"/>
      <c r="G166" s="10"/>
      <c r="H166" s="10"/>
      <c r="I166" s="10"/>
      <c r="J166" s="10"/>
    </row>
    <row r="167" ht="14.25" customHeight="1">
      <c r="A167" s="41"/>
      <c r="B167" s="16"/>
      <c r="C167" s="10"/>
      <c r="D167" s="10"/>
      <c r="E167" s="10"/>
      <c r="F167" s="10"/>
      <c r="G167" s="10"/>
      <c r="H167" s="10"/>
      <c r="I167" s="10"/>
      <c r="J167" s="10"/>
    </row>
    <row r="168" ht="14.25" customHeight="1">
      <c r="A168" s="41"/>
      <c r="B168" s="16"/>
      <c r="C168" s="10"/>
      <c r="D168" s="10"/>
      <c r="E168" s="10"/>
      <c r="F168" s="10"/>
      <c r="G168" s="10"/>
      <c r="H168" s="10"/>
      <c r="I168" s="10"/>
      <c r="J168" s="10"/>
    </row>
    <row r="169" ht="14.25" customHeight="1">
      <c r="A169" s="41"/>
      <c r="B169" s="16"/>
      <c r="C169" s="10"/>
      <c r="D169" s="10"/>
      <c r="E169" s="10"/>
      <c r="F169" s="10"/>
      <c r="G169" s="10"/>
      <c r="H169" s="10"/>
      <c r="I169" s="10"/>
      <c r="J169" s="10"/>
    </row>
    <row r="170" ht="14.25" customHeight="1">
      <c r="A170" s="41"/>
      <c r="B170" s="16"/>
      <c r="C170" s="10"/>
      <c r="D170" s="10"/>
      <c r="E170" s="10"/>
      <c r="F170" s="10"/>
      <c r="G170" s="10"/>
      <c r="H170" s="10"/>
      <c r="I170" s="10"/>
      <c r="J170" s="10"/>
    </row>
    <row r="171" ht="14.25" customHeight="1">
      <c r="A171" s="41"/>
      <c r="B171" s="16"/>
      <c r="C171" s="10"/>
      <c r="D171" s="10"/>
      <c r="E171" s="10"/>
      <c r="F171" s="10"/>
      <c r="G171" s="10"/>
      <c r="H171" s="10"/>
      <c r="I171" s="10"/>
      <c r="J171" s="10"/>
    </row>
    <row r="172" ht="14.25" customHeight="1">
      <c r="A172" s="41"/>
      <c r="B172" s="16"/>
      <c r="C172" s="10"/>
      <c r="D172" s="10"/>
      <c r="E172" s="10"/>
      <c r="F172" s="10"/>
      <c r="G172" s="10"/>
      <c r="H172" s="10"/>
      <c r="I172" s="10"/>
      <c r="J172" s="10"/>
    </row>
    <row r="173" ht="14.25" customHeight="1">
      <c r="A173" s="41"/>
      <c r="B173" s="16"/>
      <c r="C173" s="10"/>
      <c r="D173" s="10"/>
      <c r="E173" s="10"/>
      <c r="F173" s="10"/>
      <c r="G173" s="10"/>
      <c r="H173" s="10"/>
      <c r="I173" s="10"/>
      <c r="J173" s="10"/>
    </row>
    <row r="174" ht="14.25" customHeight="1">
      <c r="A174" s="41"/>
      <c r="B174" s="16"/>
      <c r="C174" s="10"/>
      <c r="D174" s="10"/>
      <c r="E174" s="10"/>
      <c r="F174" s="10"/>
      <c r="G174" s="10"/>
      <c r="H174" s="10"/>
      <c r="I174" s="10"/>
      <c r="J174" s="10"/>
    </row>
    <row r="175" ht="14.25" customHeight="1">
      <c r="A175" s="41"/>
      <c r="B175" s="16"/>
      <c r="C175" s="10"/>
      <c r="D175" s="10"/>
      <c r="E175" s="10"/>
      <c r="F175" s="10"/>
      <c r="G175" s="10"/>
      <c r="H175" s="10"/>
      <c r="I175" s="10"/>
      <c r="J175" s="10"/>
    </row>
    <row r="176" ht="14.25" customHeight="1">
      <c r="A176" s="41"/>
      <c r="B176" s="16"/>
      <c r="C176" s="10"/>
      <c r="D176" s="10"/>
      <c r="E176" s="10"/>
      <c r="F176" s="10"/>
      <c r="G176" s="10"/>
      <c r="H176" s="10"/>
      <c r="I176" s="10"/>
      <c r="J176" s="10"/>
    </row>
    <row r="177" ht="14.25" customHeight="1">
      <c r="A177" s="41"/>
      <c r="B177" s="16"/>
      <c r="C177" s="10"/>
      <c r="D177" s="10"/>
      <c r="E177" s="10"/>
      <c r="F177" s="10"/>
      <c r="G177" s="10"/>
      <c r="H177" s="10"/>
      <c r="I177" s="10"/>
      <c r="J177" s="10"/>
    </row>
    <row r="178" ht="14.25" customHeight="1">
      <c r="A178" s="41"/>
      <c r="B178" s="16"/>
      <c r="C178" s="10"/>
      <c r="D178" s="10"/>
      <c r="E178" s="10"/>
      <c r="F178" s="10"/>
      <c r="G178" s="10"/>
      <c r="H178" s="10"/>
      <c r="I178" s="10"/>
      <c r="J178" s="10"/>
    </row>
    <row r="179" ht="14.25" customHeight="1">
      <c r="A179" s="41"/>
      <c r="B179" s="16"/>
      <c r="C179" s="10"/>
      <c r="D179" s="10"/>
      <c r="E179" s="10"/>
      <c r="F179" s="10"/>
      <c r="G179" s="10"/>
      <c r="H179" s="10"/>
      <c r="I179" s="10"/>
      <c r="J179" s="10"/>
    </row>
    <row r="180" ht="14.25" customHeight="1">
      <c r="A180" s="41"/>
      <c r="B180" s="16"/>
      <c r="C180" s="10"/>
      <c r="D180" s="10"/>
      <c r="E180" s="10"/>
      <c r="F180" s="10"/>
      <c r="G180" s="10"/>
      <c r="H180" s="10"/>
      <c r="I180" s="10"/>
      <c r="J180" s="10"/>
    </row>
    <row r="181" ht="14.25" customHeight="1">
      <c r="A181" s="41"/>
      <c r="B181" s="16"/>
      <c r="C181" s="10"/>
      <c r="D181" s="10"/>
      <c r="E181" s="10"/>
      <c r="F181" s="10"/>
      <c r="G181" s="10"/>
      <c r="H181" s="10"/>
      <c r="I181" s="10"/>
      <c r="J181" s="10"/>
    </row>
    <row r="182" ht="14.25" customHeight="1">
      <c r="A182" s="41"/>
      <c r="B182" s="16"/>
      <c r="C182" s="10"/>
      <c r="D182" s="10"/>
      <c r="E182" s="10"/>
      <c r="F182" s="10"/>
      <c r="G182" s="10"/>
      <c r="H182" s="10"/>
      <c r="I182" s="10"/>
      <c r="J182" s="10"/>
    </row>
    <row r="183" ht="14.25" customHeight="1">
      <c r="A183" s="41"/>
      <c r="B183" s="16"/>
      <c r="C183" s="10"/>
      <c r="D183" s="10"/>
      <c r="E183" s="10"/>
      <c r="F183" s="10"/>
      <c r="G183" s="10"/>
      <c r="H183" s="10"/>
      <c r="I183" s="10"/>
      <c r="J183" s="10"/>
    </row>
    <row r="184" ht="14.25" customHeight="1">
      <c r="A184" s="41"/>
      <c r="B184" s="16"/>
      <c r="C184" s="10"/>
      <c r="D184" s="10"/>
      <c r="E184" s="10"/>
      <c r="F184" s="10"/>
      <c r="G184" s="10"/>
      <c r="H184" s="10"/>
      <c r="I184" s="10"/>
      <c r="J184" s="10"/>
    </row>
    <row r="185" ht="14.25" customHeight="1">
      <c r="A185" s="41"/>
      <c r="B185" s="16"/>
      <c r="C185" s="10"/>
      <c r="D185" s="10"/>
      <c r="E185" s="10"/>
      <c r="F185" s="10"/>
      <c r="G185" s="10"/>
      <c r="H185" s="10"/>
      <c r="I185" s="10"/>
      <c r="J185" s="10"/>
    </row>
    <row r="186" ht="14.25" customHeight="1">
      <c r="A186" s="41"/>
      <c r="B186" s="16"/>
      <c r="C186" s="10"/>
      <c r="D186" s="10"/>
      <c r="E186" s="10"/>
      <c r="F186" s="10"/>
      <c r="G186" s="10"/>
      <c r="H186" s="10"/>
      <c r="I186" s="10"/>
      <c r="J186" s="10"/>
    </row>
    <row r="187" ht="14.25" customHeight="1">
      <c r="A187" s="41"/>
      <c r="B187" s="16"/>
      <c r="C187" s="10"/>
      <c r="D187" s="10"/>
      <c r="E187" s="10"/>
      <c r="F187" s="10"/>
      <c r="G187" s="10"/>
      <c r="H187" s="10"/>
      <c r="I187" s="10"/>
      <c r="J187" s="10"/>
    </row>
    <row r="188" ht="14.25" customHeight="1">
      <c r="A188" s="41"/>
      <c r="B188" s="16"/>
      <c r="C188" s="10"/>
      <c r="D188" s="10"/>
      <c r="E188" s="10"/>
      <c r="F188" s="10"/>
      <c r="G188" s="10"/>
      <c r="H188" s="10"/>
      <c r="I188" s="10"/>
      <c r="J188" s="10"/>
    </row>
    <row r="189" ht="14.25" customHeight="1">
      <c r="A189" s="41"/>
      <c r="B189" s="16"/>
      <c r="C189" s="10"/>
      <c r="D189" s="10"/>
      <c r="E189" s="10"/>
      <c r="F189" s="10"/>
      <c r="G189" s="10"/>
      <c r="H189" s="10"/>
      <c r="I189" s="10"/>
      <c r="J189" s="10"/>
    </row>
    <row r="190" ht="14.25" customHeight="1">
      <c r="A190" s="41"/>
      <c r="B190" s="16"/>
      <c r="C190" s="10"/>
      <c r="D190" s="10"/>
      <c r="E190" s="10"/>
      <c r="F190" s="10"/>
      <c r="G190" s="10"/>
      <c r="H190" s="10"/>
      <c r="I190" s="10"/>
      <c r="J190" s="10"/>
    </row>
    <row r="191" ht="14.25" customHeight="1">
      <c r="A191" s="41"/>
      <c r="B191" s="16"/>
      <c r="C191" s="10"/>
      <c r="D191" s="10"/>
      <c r="E191" s="10"/>
      <c r="F191" s="10"/>
      <c r="G191" s="10"/>
      <c r="H191" s="10"/>
      <c r="I191" s="10"/>
      <c r="J191" s="10"/>
    </row>
    <row r="192" ht="14.25" customHeight="1">
      <c r="A192" s="41"/>
      <c r="B192" s="16"/>
      <c r="C192" s="10"/>
      <c r="D192" s="10"/>
      <c r="E192" s="10"/>
      <c r="F192" s="10"/>
      <c r="G192" s="10"/>
      <c r="H192" s="10"/>
      <c r="I192" s="10"/>
      <c r="J192" s="10"/>
    </row>
    <row r="193" ht="14.25" customHeight="1">
      <c r="A193" s="41"/>
      <c r="B193" s="16"/>
      <c r="C193" s="10"/>
      <c r="D193" s="10"/>
      <c r="E193" s="10"/>
      <c r="F193" s="10"/>
      <c r="G193" s="10"/>
      <c r="H193" s="10"/>
      <c r="I193" s="10"/>
      <c r="J193" s="10"/>
    </row>
    <row r="194" ht="14.25" customHeight="1">
      <c r="A194" s="41"/>
      <c r="B194" s="16"/>
      <c r="C194" s="10"/>
      <c r="D194" s="10"/>
      <c r="E194" s="10"/>
      <c r="F194" s="10"/>
      <c r="G194" s="10"/>
      <c r="H194" s="10"/>
      <c r="I194" s="10"/>
      <c r="J194" s="10"/>
    </row>
    <row r="195" ht="14.25" customHeight="1">
      <c r="A195" s="41"/>
      <c r="B195" s="16"/>
      <c r="C195" s="10"/>
      <c r="D195" s="10"/>
      <c r="E195" s="10"/>
      <c r="F195" s="10"/>
      <c r="G195" s="10"/>
      <c r="H195" s="10"/>
      <c r="I195" s="10"/>
      <c r="J195" s="10"/>
    </row>
    <row r="196" ht="14.25" customHeight="1">
      <c r="A196" s="41"/>
      <c r="B196" s="16"/>
      <c r="C196" s="10"/>
      <c r="D196" s="10"/>
      <c r="E196" s="10"/>
      <c r="F196" s="10"/>
      <c r="G196" s="10"/>
      <c r="H196" s="10"/>
      <c r="I196" s="10"/>
      <c r="J196" s="10"/>
    </row>
    <row r="197" ht="14.25" customHeight="1">
      <c r="A197" s="41"/>
      <c r="B197" s="16"/>
      <c r="C197" s="10"/>
      <c r="D197" s="10"/>
      <c r="E197" s="10"/>
      <c r="F197" s="10"/>
      <c r="G197" s="10"/>
      <c r="H197" s="10"/>
      <c r="I197" s="10"/>
      <c r="J197" s="10"/>
    </row>
    <row r="198" ht="14.25" customHeight="1">
      <c r="A198" s="41"/>
      <c r="B198" s="16"/>
      <c r="C198" s="10"/>
      <c r="D198" s="10"/>
      <c r="E198" s="10"/>
      <c r="F198" s="10"/>
      <c r="G198" s="10"/>
      <c r="H198" s="10"/>
      <c r="I198" s="10"/>
      <c r="J198" s="10"/>
    </row>
    <row r="199" ht="14.25" customHeight="1">
      <c r="A199" s="41"/>
      <c r="B199" s="16"/>
      <c r="C199" s="10"/>
      <c r="D199" s="10"/>
      <c r="E199" s="10"/>
      <c r="F199" s="10"/>
      <c r="G199" s="10"/>
      <c r="H199" s="10"/>
      <c r="I199" s="10"/>
      <c r="J199" s="10"/>
    </row>
    <row r="200" ht="14.25" customHeight="1">
      <c r="A200" s="41"/>
      <c r="B200" s="16"/>
      <c r="C200" s="10"/>
      <c r="D200" s="10"/>
      <c r="E200" s="10"/>
      <c r="F200" s="10"/>
      <c r="G200" s="10"/>
      <c r="H200" s="10"/>
      <c r="I200" s="10"/>
      <c r="J200" s="10"/>
    </row>
    <row r="201" ht="14.25" customHeight="1">
      <c r="A201" s="41"/>
      <c r="B201" s="16"/>
      <c r="C201" s="10"/>
      <c r="D201" s="10"/>
      <c r="E201" s="10"/>
      <c r="F201" s="10"/>
      <c r="G201" s="10"/>
      <c r="H201" s="10"/>
      <c r="I201" s="10"/>
      <c r="J201" s="10"/>
    </row>
    <row r="202" ht="14.25" customHeight="1">
      <c r="A202" s="41"/>
      <c r="B202" s="16"/>
      <c r="C202" s="10"/>
      <c r="D202" s="10"/>
      <c r="E202" s="10"/>
      <c r="F202" s="10"/>
      <c r="G202" s="10"/>
      <c r="H202" s="10"/>
      <c r="I202" s="10"/>
      <c r="J202" s="10"/>
    </row>
    <row r="203" ht="14.25" customHeight="1">
      <c r="A203" s="41"/>
      <c r="B203" s="16"/>
      <c r="C203" s="10"/>
      <c r="D203" s="10"/>
      <c r="E203" s="10"/>
      <c r="F203" s="10"/>
      <c r="G203" s="10"/>
      <c r="H203" s="10"/>
      <c r="I203" s="10"/>
      <c r="J203" s="10"/>
    </row>
    <row r="204" ht="14.25" customHeight="1">
      <c r="A204" s="41"/>
      <c r="B204" s="16"/>
      <c r="C204" s="10"/>
      <c r="D204" s="10"/>
      <c r="E204" s="10"/>
      <c r="F204" s="10"/>
      <c r="G204" s="10"/>
      <c r="H204" s="10"/>
      <c r="I204" s="10"/>
      <c r="J204" s="10"/>
    </row>
    <row r="205" ht="14.25" customHeight="1">
      <c r="A205" s="41"/>
      <c r="B205" s="16"/>
      <c r="C205" s="10"/>
      <c r="D205" s="10"/>
      <c r="E205" s="10"/>
      <c r="F205" s="10"/>
      <c r="G205" s="10"/>
      <c r="H205" s="10"/>
      <c r="I205" s="10"/>
      <c r="J205" s="10"/>
    </row>
    <row r="206" ht="14.25" customHeight="1">
      <c r="A206" s="41"/>
      <c r="B206" s="16"/>
      <c r="C206" s="10"/>
      <c r="D206" s="10"/>
      <c r="E206" s="10"/>
      <c r="F206" s="10"/>
      <c r="G206" s="10"/>
      <c r="H206" s="10"/>
      <c r="I206" s="10"/>
      <c r="J206" s="10"/>
    </row>
    <row r="207" ht="14.25" customHeight="1">
      <c r="A207" s="41"/>
      <c r="B207" s="16"/>
      <c r="C207" s="10"/>
      <c r="D207" s="10"/>
      <c r="E207" s="10"/>
      <c r="F207" s="10"/>
      <c r="G207" s="10"/>
      <c r="H207" s="10"/>
      <c r="I207" s="10"/>
      <c r="J207" s="10"/>
    </row>
    <row r="208" ht="14.25" customHeight="1">
      <c r="A208" s="41"/>
      <c r="B208" s="16"/>
      <c r="C208" s="10"/>
      <c r="D208" s="10"/>
      <c r="E208" s="10"/>
      <c r="F208" s="10"/>
      <c r="G208" s="10"/>
      <c r="H208" s="10"/>
      <c r="I208" s="10"/>
      <c r="J208" s="10"/>
    </row>
    <row r="209" ht="14.25" customHeight="1">
      <c r="A209" s="41"/>
      <c r="B209" s="16"/>
      <c r="C209" s="10"/>
      <c r="D209" s="10"/>
      <c r="E209" s="10"/>
      <c r="F209" s="10"/>
      <c r="G209" s="10"/>
      <c r="H209" s="10"/>
      <c r="I209" s="10"/>
      <c r="J209" s="10"/>
    </row>
    <row r="210" ht="14.25" customHeight="1">
      <c r="A210" s="41"/>
      <c r="B210" s="16"/>
      <c r="C210" s="10"/>
      <c r="D210" s="10"/>
      <c r="E210" s="10"/>
      <c r="F210" s="10"/>
      <c r="G210" s="10"/>
      <c r="H210" s="10"/>
      <c r="I210" s="10"/>
      <c r="J210" s="10"/>
    </row>
    <row r="211" ht="14.25" customHeight="1">
      <c r="A211" s="41"/>
      <c r="B211" s="16"/>
      <c r="C211" s="10"/>
      <c r="D211" s="10"/>
      <c r="E211" s="10"/>
      <c r="F211" s="10"/>
      <c r="G211" s="10"/>
      <c r="H211" s="10"/>
      <c r="I211" s="10"/>
      <c r="J211" s="10"/>
    </row>
    <row r="212" ht="14.25" customHeight="1">
      <c r="A212" s="41"/>
      <c r="B212" s="16"/>
      <c r="C212" s="10"/>
      <c r="D212" s="10"/>
      <c r="E212" s="10"/>
      <c r="F212" s="10"/>
      <c r="G212" s="10"/>
      <c r="H212" s="10"/>
      <c r="I212" s="10"/>
      <c r="J212" s="10"/>
    </row>
    <row r="213" ht="14.25" customHeight="1">
      <c r="A213" s="41"/>
      <c r="B213" s="16"/>
      <c r="C213" s="10"/>
      <c r="D213" s="10"/>
      <c r="E213" s="10"/>
      <c r="F213" s="10"/>
      <c r="G213" s="10"/>
      <c r="H213" s="10"/>
      <c r="I213" s="10"/>
      <c r="J213" s="10"/>
    </row>
    <row r="214" ht="14.25" customHeight="1">
      <c r="A214" s="41"/>
      <c r="B214" s="16"/>
      <c r="C214" s="10"/>
      <c r="D214" s="10"/>
      <c r="E214" s="10"/>
      <c r="F214" s="10"/>
      <c r="G214" s="10"/>
      <c r="H214" s="10"/>
      <c r="I214" s="10"/>
      <c r="J214" s="10"/>
    </row>
    <row r="215" ht="14.25" customHeight="1">
      <c r="A215" s="41"/>
      <c r="B215" s="16"/>
      <c r="C215" s="10"/>
      <c r="D215" s="10"/>
      <c r="E215" s="10"/>
      <c r="F215" s="10"/>
      <c r="G215" s="10"/>
      <c r="H215" s="10"/>
      <c r="I215" s="10"/>
      <c r="J215" s="10"/>
    </row>
    <row r="216" ht="14.25" customHeight="1">
      <c r="A216" s="41"/>
      <c r="B216" s="16"/>
      <c r="C216" s="10"/>
      <c r="D216" s="10"/>
      <c r="E216" s="10"/>
      <c r="F216" s="10"/>
      <c r="G216" s="10"/>
      <c r="H216" s="10"/>
      <c r="I216" s="10"/>
      <c r="J216" s="10"/>
    </row>
    <row r="217" ht="14.25" customHeight="1">
      <c r="A217" s="41"/>
      <c r="B217" s="16"/>
      <c r="C217" s="10"/>
      <c r="D217" s="10"/>
      <c r="E217" s="10"/>
      <c r="F217" s="10"/>
      <c r="G217" s="10"/>
      <c r="H217" s="10"/>
      <c r="I217" s="10"/>
      <c r="J217" s="10"/>
    </row>
    <row r="218" ht="14.25" customHeight="1">
      <c r="A218" s="41"/>
      <c r="B218" s="16"/>
      <c r="C218" s="10"/>
      <c r="D218" s="10"/>
      <c r="E218" s="10"/>
      <c r="F218" s="10"/>
      <c r="G218" s="10"/>
      <c r="H218" s="10"/>
      <c r="I218" s="10"/>
      <c r="J218" s="10"/>
    </row>
    <row r="219" ht="14.25" customHeight="1">
      <c r="A219" s="41"/>
      <c r="B219" s="16"/>
      <c r="C219" s="10"/>
      <c r="D219" s="10"/>
      <c r="E219" s="10"/>
      <c r="F219" s="10"/>
      <c r="G219" s="10"/>
      <c r="H219" s="10"/>
      <c r="I219" s="10"/>
      <c r="J219" s="10"/>
    </row>
    <row r="220" ht="14.25" customHeight="1">
      <c r="A220" s="41"/>
      <c r="B220" s="16"/>
      <c r="C220" s="10"/>
      <c r="D220" s="10"/>
      <c r="E220" s="10"/>
      <c r="F220" s="10"/>
      <c r="G220" s="10"/>
      <c r="H220" s="10"/>
      <c r="I220" s="10"/>
      <c r="J220" s="10"/>
    </row>
    <row r="221" ht="14.25" customHeight="1">
      <c r="A221" s="41"/>
      <c r="B221" s="16"/>
      <c r="C221" s="10"/>
      <c r="D221" s="10"/>
      <c r="E221" s="10"/>
      <c r="F221" s="10"/>
      <c r="G221" s="10"/>
      <c r="H221" s="10"/>
      <c r="I221" s="10"/>
      <c r="J221" s="10"/>
    </row>
    <row r="222" ht="14.25" customHeight="1">
      <c r="A222" s="41"/>
      <c r="B222" s="16"/>
      <c r="C222" s="10"/>
      <c r="D222" s="10"/>
      <c r="E222" s="10"/>
      <c r="F222" s="10"/>
      <c r="G222" s="10"/>
      <c r="H222" s="10"/>
      <c r="I222" s="10"/>
      <c r="J222" s="10"/>
    </row>
    <row r="223" ht="14.25" customHeight="1">
      <c r="A223" s="41"/>
      <c r="B223" s="16"/>
      <c r="C223" s="10"/>
      <c r="D223" s="10"/>
      <c r="E223" s="10"/>
      <c r="F223" s="10"/>
      <c r="G223" s="10"/>
      <c r="H223" s="10"/>
      <c r="I223" s="10"/>
      <c r="J223" s="10"/>
    </row>
    <row r="224" ht="14.25" customHeight="1">
      <c r="A224" s="41"/>
      <c r="B224" s="16"/>
      <c r="C224" s="10"/>
      <c r="D224" s="10"/>
      <c r="E224" s="10"/>
      <c r="F224" s="10"/>
      <c r="G224" s="10"/>
      <c r="H224" s="10"/>
      <c r="I224" s="10"/>
      <c r="J224" s="10"/>
    </row>
    <row r="225" ht="14.25" customHeight="1">
      <c r="A225" s="41"/>
      <c r="B225" s="16"/>
      <c r="C225" s="10"/>
      <c r="D225" s="10"/>
      <c r="E225" s="10"/>
      <c r="F225" s="10"/>
      <c r="G225" s="10"/>
      <c r="H225" s="10"/>
      <c r="I225" s="10"/>
      <c r="J225" s="10"/>
    </row>
    <row r="226" ht="14.25" customHeight="1">
      <c r="A226" s="41"/>
      <c r="B226" s="16"/>
      <c r="C226" s="10"/>
      <c r="D226" s="10"/>
      <c r="E226" s="10"/>
      <c r="F226" s="10"/>
      <c r="G226" s="10"/>
      <c r="H226" s="10"/>
      <c r="I226" s="10"/>
      <c r="J226" s="10"/>
    </row>
    <row r="227" ht="14.25" customHeight="1">
      <c r="A227" s="41"/>
      <c r="B227" s="16"/>
      <c r="C227" s="10"/>
      <c r="D227" s="10"/>
      <c r="E227" s="10"/>
      <c r="F227" s="10"/>
      <c r="G227" s="10"/>
      <c r="H227" s="10"/>
      <c r="I227" s="10"/>
      <c r="J227" s="10"/>
    </row>
    <row r="228" ht="14.25" customHeight="1">
      <c r="A228" s="41"/>
      <c r="B228" s="16"/>
      <c r="C228" s="10"/>
      <c r="D228" s="10"/>
      <c r="E228" s="10"/>
      <c r="F228" s="10"/>
      <c r="G228" s="10"/>
      <c r="H228" s="10"/>
      <c r="I228" s="10"/>
      <c r="J228" s="10"/>
    </row>
    <row r="229" ht="14.25" customHeight="1">
      <c r="A229" s="41"/>
      <c r="B229" s="16"/>
      <c r="C229" s="10"/>
      <c r="D229" s="10"/>
      <c r="E229" s="10"/>
      <c r="F229" s="10"/>
      <c r="G229" s="10"/>
      <c r="H229" s="10"/>
      <c r="I229" s="10"/>
      <c r="J229" s="10"/>
    </row>
    <row r="230" ht="14.25" customHeight="1">
      <c r="A230" s="41"/>
      <c r="B230" s="16"/>
      <c r="C230" s="10"/>
      <c r="D230" s="10"/>
      <c r="E230" s="10"/>
      <c r="F230" s="10"/>
      <c r="G230" s="10"/>
      <c r="H230" s="10"/>
      <c r="I230" s="10"/>
      <c r="J230" s="10"/>
    </row>
    <row r="231" ht="14.25" customHeight="1">
      <c r="A231" s="41"/>
      <c r="B231" s="16"/>
      <c r="C231" s="10"/>
      <c r="D231" s="10"/>
      <c r="E231" s="10"/>
      <c r="F231" s="10"/>
      <c r="G231" s="10"/>
      <c r="H231" s="10"/>
      <c r="I231" s="10"/>
      <c r="J231" s="10"/>
    </row>
    <row r="232" ht="14.25" customHeight="1">
      <c r="A232" s="41"/>
      <c r="B232" s="16"/>
      <c r="C232" s="10"/>
      <c r="D232" s="10"/>
      <c r="E232" s="10"/>
      <c r="F232" s="10"/>
      <c r="G232" s="10"/>
      <c r="H232" s="10"/>
      <c r="I232" s="10"/>
      <c r="J232" s="10"/>
    </row>
    <row r="233" ht="14.25" customHeight="1">
      <c r="A233" s="41"/>
      <c r="B233" s="16"/>
      <c r="C233" s="10"/>
      <c r="D233" s="10"/>
      <c r="E233" s="10"/>
      <c r="F233" s="10"/>
      <c r="G233" s="10"/>
      <c r="H233" s="10"/>
      <c r="I233" s="10"/>
      <c r="J233" s="10"/>
    </row>
    <row r="234" ht="14.25" customHeight="1">
      <c r="A234" s="41"/>
      <c r="B234" s="16"/>
      <c r="C234" s="10"/>
      <c r="D234" s="10"/>
      <c r="E234" s="10"/>
      <c r="F234" s="10"/>
      <c r="G234" s="10"/>
      <c r="H234" s="10"/>
      <c r="I234" s="10"/>
      <c r="J234" s="10"/>
    </row>
    <row r="235" ht="14.25" customHeight="1">
      <c r="A235" s="41"/>
      <c r="B235" s="16"/>
      <c r="C235" s="10"/>
      <c r="D235" s="10"/>
      <c r="E235" s="10"/>
      <c r="F235" s="10"/>
      <c r="G235" s="10"/>
      <c r="H235" s="10"/>
      <c r="I235" s="10"/>
      <c r="J235" s="10"/>
    </row>
    <row r="236" ht="14.25" customHeight="1">
      <c r="A236" s="41"/>
      <c r="B236" s="16"/>
      <c r="C236" s="10"/>
      <c r="D236" s="10"/>
      <c r="E236" s="10"/>
      <c r="F236" s="10"/>
      <c r="G236" s="10"/>
      <c r="H236" s="10"/>
      <c r="I236" s="10"/>
      <c r="J236" s="10"/>
    </row>
    <row r="237" ht="14.25" customHeight="1">
      <c r="A237" s="41"/>
      <c r="B237" s="16"/>
      <c r="C237" s="10"/>
      <c r="D237" s="10"/>
      <c r="E237" s="10"/>
      <c r="F237" s="10"/>
      <c r="G237" s="10"/>
      <c r="H237" s="10"/>
      <c r="I237" s="10"/>
      <c r="J237" s="10"/>
    </row>
    <row r="238" ht="14.25" customHeight="1">
      <c r="A238" s="41"/>
      <c r="B238" s="16"/>
      <c r="C238" s="10"/>
      <c r="D238" s="10"/>
      <c r="E238" s="10"/>
      <c r="F238" s="10"/>
      <c r="G238" s="10"/>
      <c r="H238" s="10"/>
      <c r="I238" s="10"/>
      <c r="J238" s="10"/>
    </row>
    <row r="239" ht="14.25" customHeight="1">
      <c r="A239" s="41"/>
      <c r="B239" s="16"/>
      <c r="C239" s="10"/>
      <c r="D239" s="10"/>
      <c r="E239" s="10"/>
      <c r="F239" s="10"/>
      <c r="G239" s="10"/>
      <c r="H239" s="10"/>
      <c r="I239" s="10"/>
      <c r="J239" s="10"/>
    </row>
    <row r="240" ht="14.25" customHeight="1">
      <c r="A240" s="41"/>
      <c r="B240" s="16"/>
      <c r="C240" s="10"/>
      <c r="D240" s="10"/>
      <c r="E240" s="10"/>
      <c r="F240" s="10"/>
      <c r="G240" s="10"/>
      <c r="H240" s="10"/>
      <c r="I240" s="10"/>
      <c r="J240" s="10"/>
    </row>
    <row r="241" ht="14.25" customHeight="1">
      <c r="A241" s="41"/>
      <c r="B241" s="16"/>
      <c r="C241" s="10"/>
      <c r="D241" s="10"/>
      <c r="E241" s="10"/>
      <c r="F241" s="10"/>
      <c r="G241" s="10"/>
      <c r="H241" s="10"/>
      <c r="I241" s="10"/>
      <c r="J241" s="10"/>
    </row>
    <row r="242" ht="14.25" customHeight="1">
      <c r="A242" s="41"/>
      <c r="B242" s="16"/>
      <c r="C242" s="10"/>
      <c r="D242" s="10"/>
      <c r="E242" s="10"/>
      <c r="F242" s="10"/>
      <c r="G242" s="10"/>
      <c r="H242" s="10"/>
      <c r="I242" s="10"/>
      <c r="J242" s="10"/>
    </row>
    <row r="243" ht="14.25" customHeight="1">
      <c r="A243" s="41"/>
      <c r="B243" s="16"/>
      <c r="C243" s="10"/>
      <c r="D243" s="10"/>
      <c r="E243" s="10"/>
      <c r="F243" s="10"/>
      <c r="G243" s="10"/>
      <c r="H243" s="10"/>
      <c r="I243" s="10"/>
      <c r="J243" s="10"/>
    </row>
    <row r="244" ht="14.25" customHeight="1">
      <c r="A244" s="41"/>
      <c r="B244" s="16"/>
      <c r="C244" s="10"/>
      <c r="D244" s="10"/>
      <c r="E244" s="10"/>
      <c r="F244" s="10"/>
      <c r="G244" s="10"/>
      <c r="H244" s="10"/>
      <c r="I244" s="10"/>
      <c r="J244" s="10"/>
    </row>
    <row r="245" ht="14.25" customHeight="1">
      <c r="A245" s="41"/>
      <c r="B245" s="16"/>
      <c r="C245" s="10"/>
      <c r="D245" s="10"/>
      <c r="E245" s="10"/>
      <c r="F245" s="10"/>
      <c r="G245" s="10"/>
      <c r="H245" s="10"/>
      <c r="I245" s="10"/>
      <c r="J245" s="10"/>
    </row>
    <row r="246" ht="14.25" customHeight="1">
      <c r="A246" s="41"/>
      <c r="B246" s="16"/>
      <c r="C246" s="10"/>
      <c r="D246" s="10"/>
      <c r="E246" s="10"/>
      <c r="F246" s="10"/>
      <c r="G246" s="10"/>
      <c r="H246" s="10"/>
      <c r="I246" s="10"/>
      <c r="J246" s="10"/>
    </row>
    <row r="247" ht="14.25" customHeight="1">
      <c r="A247" s="41"/>
      <c r="B247" s="16"/>
      <c r="C247" s="10"/>
      <c r="D247" s="10"/>
      <c r="E247" s="10"/>
      <c r="F247" s="10"/>
      <c r="G247" s="10"/>
      <c r="H247" s="10"/>
      <c r="I247" s="10"/>
      <c r="J247" s="10"/>
    </row>
    <row r="248" ht="14.25" customHeight="1">
      <c r="A248" s="41"/>
      <c r="B248" s="16"/>
      <c r="C248" s="10"/>
      <c r="D248" s="10"/>
      <c r="E248" s="10"/>
      <c r="F248" s="10"/>
      <c r="G248" s="10"/>
      <c r="H248" s="10"/>
      <c r="I248" s="10"/>
      <c r="J248" s="10"/>
    </row>
    <row r="249" ht="14.25" customHeight="1">
      <c r="A249" s="41"/>
      <c r="B249" s="16"/>
      <c r="C249" s="10"/>
      <c r="D249" s="10"/>
      <c r="E249" s="10"/>
      <c r="F249" s="10"/>
      <c r="G249" s="10"/>
      <c r="H249" s="10"/>
      <c r="I249" s="10"/>
      <c r="J249" s="10"/>
    </row>
    <row r="250" ht="14.25" customHeight="1">
      <c r="A250" s="41"/>
      <c r="B250" s="16"/>
      <c r="C250" s="10"/>
      <c r="D250" s="10"/>
      <c r="E250" s="10"/>
      <c r="F250" s="10"/>
      <c r="G250" s="10"/>
      <c r="H250" s="10"/>
      <c r="I250" s="10"/>
      <c r="J250" s="10"/>
    </row>
    <row r="251" ht="14.25" customHeight="1">
      <c r="A251" s="41"/>
      <c r="B251" s="16"/>
      <c r="C251" s="10"/>
      <c r="D251" s="10"/>
      <c r="E251" s="10"/>
      <c r="F251" s="10"/>
      <c r="G251" s="10"/>
      <c r="H251" s="10"/>
      <c r="I251" s="10"/>
      <c r="J251" s="10"/>
    </row>
    <row r="252" ht="14.25" customHeight="1">
      <c r="A252" s="41"/>
      <c r="B252" s="16"/>
      <c r="C252" s="10"/>
      <c r="D252" s="10"/>
      <c r="E252" s="10"/>
      <c r="F252" s="10"/>
      <c r="G252" s="10"/>
      <c r="H252" s="10"/>
      <c r="I252" s="10"/>
      <c r="J252" s="10"/>
    </row>
    <row r="253" ht="14.25" customHeight="1">
      <c r="A253" s="41"/>
      <c r="B253" s="16"/>
      <c r="C253" s="10"/>
      <c r="D253" s="10"/>
      <c r="E253" s="10"/>
      <c r="F253" s="10"/>
      <c r="G253" s="10"/>
      <c r="H253" s="10"/>
      <c r="I253" s="10"/>
      <c r="J253" s="10"/>
    </row>
    <row r="254" ht="14.25" customHeight="1">
      <c r="A254" s="41"/>
      <c r="B254" s="16"/>
      <c r="C254" s="10"/>
      <c r="D254" s="10"/>
      <c r="E254" s="10"/>
      <c r="F254" s="10"/>
      <c r="G254" s="10"/>
      <c r="H254" s="10"/>
      <c r="I254" s="10"/>
      <c r="J254" s="10"/>
    </row>
    <row r="255" ht="14.25" customHeight="1">
      <c r="A255" s="41"/>
      <c r="B255" s="16"/>
      <c r="C255" s="10"/>
      <c r="D255" s="10"/>
      <c r="E255" s="10"/>
      <c r="F255" s="10"/>
      <c r="G255" s="10"/>
      <c r="H255" s="10"/>
      <c r="I255" s="10"/>
      <c r="J255" s="10"/>
    </row>
    <row r="256" ht="14.25" customHeight="1">
      <c r="A256" s="41"/>
      <c r="B256" s="16"/>
      <c r="C256" s="10"/>
      <c r="D256" s="10"/>
      <c r="E256" s="10"/>
      <c r="F256" s="10"/>
      <c r="G256" s="10"/>
      <c r="H256" s="10"/>
      <c r="I256" s="10"/>
      <c r="J256" s="10"/>
    </row>
    <row r="257" ht="14.25" customHeight="1">
      <c r="A257" s="41"/>
      <c r="B257" s="16"/>
      <c r="C257" s="10"/>
      <c r="D257" s="10"/>
      <c r="E257" s="10"/>
      <c r="F257" s="10"/>
      <c r="G257" s="10"/>
      <c r="H257" s="10"/>
      <c r="I257" s="10"/>
      <c r="J257" s="10"/>
    </row>
    <row r="258" ht="14.25" customHeight="1">
      <c r="A258" s="41"/>
      <c r="B258" s="16"/>
      <c r="C258" s="10"/>
      <c r="D258" s="10"/>
      <c r="E258" s="10"/>
      <c r="F258" s="10"/>
      <c r="G258" s="10"/>
      <c r="H258" s="10"/>
      <c r="I258" s="10"/>
      <c r="J258" s="10"/>
    </row>
    <row r="259" ht="14.25" customHeight="1">
      <c r="A259" s="41"/>
      <c r="B259" s="16"/>
      <c r="C259" s="10"/>
      <c r="D259" s="10"/>
      <c r="E259" s="10"/>
      <c r="F259" s="10"/>
      <c r="G259" s="10"/>
      <c r="H259" s="10"/>
      <c r="I259" s="10"/>
      <c r="J259" s="10"/>
    </row>
    <row r="260" ht="14.25" customHeight="1">
      <c r="A260" s="41"/>
      <c r="B260" s="16"/>
      <c r="C260" s="10"/>
      <c r="D260" s="10"/>
      <c r="E260" s="10"/>
      <c r="F260" s="10"/>
      <c r="G260" s="10"/>
      <c r="H260" s="10"/>
      <c r="I260" s="10"/>
      <c r="J260" s="10"/>
    </row>
    <row r="261" ht="14.25" customHeight="1">
      <c r="A261" s="41"/>
      <c r="B261" s="16"/>
      <c r="C261" s="10"/>
      <c r="D261" s="10"/>
      <c r="E261" s="10"/>
      <c r="F261" s="10"/>
      <c r="G261" s="10"/>
      <c r="H261" s="10"/>
      <c r="I261" s="10"/>
      <c r="J261" s="10"/>
    </row>
    <row r="262" ht="14.25" customHeight="1">
      <c r="A262" s="41"/>
      <c r="B262" s="16"/>
      <c r="C262" s="10"/>
      <c r="D262" s="10"/>
      <c r="E262" s="10"/>
      <c r="F262" s="10"/>
      <c r="G262" s="10"/>
      <c r="H262" s="10"/>
      <c r="I262" s="10"/>
      <c r="J262" s="10"/>
    </row>
    <row r="263" ht="14.25" customHeight="1">
      <c r="A263" s="41"/>
      <c r="B263" s="16"/>
      <c r="C263" s="10"/>
      <c r="D263" s="10"/>
      <c r="E263" s="10"/>
      <c r="F263" s="10"/>
      <c r="G263" s="10"/>
      <c r="H263" s="10"/>
      <c r="I263" s="10"/>
      <c r="J263" s="10"/>
    </row>
    <row r="264" ht="14.25" customHeight="1">
      <c r="A264" s="41"/>
      <c r="B264" s="16"/>
      <c r="C264" s="10"/>
      <c r="D264" s="10"/>
      <c r="E264" s="10"/>
      <c r="F264" s="10"/>
      <c r="G264" s="10"/>
      <c r="H264" s="10"/>
      <c r="I264" s="10"/>
      <c r="J264" s="10"/>
    </row>
    <row r="265" ht="14.25" customHeight="1">
      <c r="A265" s="41"/>
      <c r="B265" s="16"/>
      <c r="C265" s="10"/>
      <c r="D265" s="10"/>
      <c r="E265" s="10"/>
      <c r="F265" s="10"/>
      <c r="G265" s="10"/>
      <c r="H265" s="10"/>
      <c r="I265" s="10"/>
      <c r="J265" s="10"/>
    </row>
    <row r="266" ht="14.25" customHeight="1">
      <c r="A266" s="41"/>
      <c r="B266" s="16"/>
      <c r="C266" s="10"/>
      <c r="D266" s="10"/>
      <c r="E266" s="10"/>
      <c r="F266" s="10"/>
      <c r="G266" s="10"/>
      <c r="H266" s="10"/>
      <c r="I266" s="10"/>
      <c r="J266" s="10"/>
    </row>
    <row r="267" ht="14.25" customHeight="1">
      <c r="A267" s="41"/>
      <c r="B267" s="16"/>
      <c r="C267" s="10"/>
      <c r="D267" s="10"/>
      <c r="E267" s="10"/>
      <c r="F267" s="10"/>
      <c r="G267" s="10"/>
      <c r="H267" s="10"/>
      <c r="I267" s="10"/>
      <c r="J267" s="10"/>
    </row>
    <row r="268" ht="14.25" customHeight="1">
      <c r="A268" s="41"/>
      <c r="B268" s="16"/>
      <c r="C268" s="10"/>
      <c r="D268" s="10"/>
      <c r="E268" s="10"/>
      <c r="F268" s="10"/>
      <c r="G268" s="10"/>
      <c r="H268" s="10"/>
      <c r="I268" s="10"/>
      <c r="J268" s="10"/>
    </row>
    <row r="269" ht="14.25" customHeight="1">
      <c r="A269" s="41"/>
      <c r="B269" s="16"/>
      <c r="C269" s="10"/>
      <c r="D269" s="10"/>
      <c r="E269" s="10"/>
      <c r="F269" s="10"/>
      <c r="G269" s="10"/>
      <c r="H269" s="10"/>
      <c r="I269" s="10"/>
      <c r="J269" s="10"/>
    </row>
    <row r="270" ht="14.25" customHeight="1">
      <c r="A270" s="41"/>
      <c r="B270" s="16"/>
      <c r="C270" s="10"/>
      <c r="D270" s="10"/>
      <c r="E270" s="10"/>
      <c r="F270" s="10"/>
      <c r="G270" s="10"/>
      <c r="H270" s="10"/>
      <c r="I270" s="10"/>
      <c r="J270" s="10"/>
    </row>
    <row r="271" ht="14.25" customHeight="1">
      <c r="A271" s="41"/>
      <c r="B271" s="16"/>
      <c r="C271" s="10"/>
      <c r="D271" s="10"/>
      <c r="E271" s="10"/>
      <c r="F271" s="10"/>
      <c r="G271" s="10"/>
      <c r="H271" s="10"/>
      <c r="I271" s="10"/>
      <c r="J271" s="10"/>
    </row>
    <row r="272" ht="14.25" customHeight="1">
      <c r="A272" s="41"/>
      <c r="B272" s="16"/>
      <c r="C272" s="10"/>
      <c r="D272" s="10"/>
      <c r="E272" s="10"/>
      <c r="F272" s="10"/>
      <c r="G272" s="10"/>
      <c r="H272" s="10"/>
      <c r="I272" s="10"/>
      <c r="J272" s="10"/>
    </row>
    <row r="273" ht="14.25" customHeight="1">
      <c r="A273" s="41"/>
      <c r="B273" s="16"/>
      <c r="C273" s="10"/>
      <c r="D273" s="10"/>
      <c r="E273" s="10"/>
      <c r="F273" s="10"/>
      <c r="G273" s="10"/>
      <c r="H273" s="10"/>
      <c r="I273" s="10"/>
      <c r="J273" s="10"/>
    </row>
    <row r="274" ht="14.25" customHeight="1">
      <c r="A274" s="41"/>
      <c r="B274" s="16"/>
      <c r="C274" s="10"/>
      <c r="D274" s="10"/>
      <c r="E274" s="10"/>
      <c r="F274" s="10"/>
      <c r="G274" s="10"/>
      <c r="H274" s="10"/>
      <c r="I274" s="10"/>
      <c r="J274" s="10"/>
    </row>
    <row r="275" ht="14.25" customHeight="1">
      <c r="A275" s="41"/>
      <c r="B275" s="16"/>
      <c r="C275" s="10"/>
      <c r="D275" s="10"/>
      <c r="E275" s="10"/>
      <c r="F275" s="10"/>
      <c r="G275" s="10"/>
      <c r="H275" s="10"/>
      <c r="I275" s="10"/>
      <c r="J275" s="10"/>
    </row>
    <row r="276" ht="14.25" customHeight="1">
      <c r="A276" s="41"/>
      <c r="B276" s="16"/>
      <c r="C276" s="10"/>
      <c r="D276" s="10"/>
      <c r="E276" s="10"/>
      <c r="F276" s="10"/>
      <c r="G276" s="10"/>
      <c r="H276" s="10"/>
      <c r="I276" s="10"/>
      <c r="J276" s="10"/>
    </row>
    <row r="277" ht="14.25" customHeight="1">
      <c r="A277" s="41"/>
      <c r="B277" s="16"/>
      <c r="C277" s="10"/>
      <c r="D277" s="10"/>
      <c r="E277" s="10"/>
      <c r="F277" s="10"/>
      <c r="G277" s="10"/>
      <c r="H277" s="10"/>
      <c r="I277" s="10"/>
      <c r="J277" s="10"/>
    </row>
    <row r="278" ht="14.25" customHeight="1">
      <c r="A278" s="41"/>
      <c r="B278" s="16"/>
      <c r="C278" s="10"/>
      <c r="D278" s="10"/>
      <c r="E278" s="10"/>
      <c r="F278" s="10"/>
      <c r="G278" s="10"/>
      <c r="H278" s="10"/>
      <c r="I278" s="10"/>
      <c r="J278" s="10"/>
    </row>
    <row r="279" ht="14.25" customHeight="1">
      <c r="A279" s="41"/>
      <c r="B279" s="16"/>
      <c r="C279" s="10"/>
      <c r="D279" s="10"/>
      <c r="E279" s="10"/>
      <c r="F279" s="10"/>
      <c r="G279" s="10"/>
      <c r="H279" s="10"/>
      <c r="I279" s="10"/>
      <c r="J279" s="10"/>
    </row>
    <row r="280" ht="14.25" customHeight="1">
      <c r="A280" s="41"/>
      <c r="B280" s="16"/>
      <c r="C280" s="10"/>
      <c r="D280" s="10"/>
      <c r="E280" s="10"/>
      <c r="F280" s="10"/>
      <c r="G280" s="10"/>
      <c r="H280" s="10"/>
      <c r="I280" s="10"/>
      <c r="J280" s="10"/>
    </row>
    <row r="281" ht="14.25" customHeight="1">
      <c r="A281" s="41"/>
      <c r="B281" s="16"/>
      <c r="C281" s="10"/>
      <c r="D281" s="10"/>
      <c r="E281" s="10"/>
      <c r="F281" s="10"/>
      <c r="G281" s="10"/>
      <c r="H281" s="10"/>
      <c r="I281" s="10"/>
      <c r="J281" s="10"/>
    </row>
    <row r="282" ht="14.25" customHeight="1">
      <c r="A282" s="41"/>
      <c r="B282" s="16"/>
      <c r="C282" s="10"/>
      <c r="D282" s="10"/>
      <c r="E282" s="10"/>
      <c r="F282" s="10"/>
      <c r="G282" s="10"/>
      <c r="H282" s="10"/>
      <c r="I282" s="10"/>
      <c r="J282" s="10"/>
    </row>
    <row r="283" ht="14.25" customHeight="1">
      <c r="A283" s="41"/>
      <c r="B283" s="16"/>
      <c r="C283" s="10"/>
      <c r="D283" s="10"/>
      <c r="E283" s="10"/>
      <c r="F283" s="10"/>
      <c r="G283" s="10"/>
      <c r="H283" s="10"/>
      <c r="I283" s="10"/>
      <c r="J283" s="10"/>
    </row>
    <row r="284" ht="14.25" customHeight="1">
      <c r="A284" s="41"/>
      <c r="B284" s="16"/>
      <c r="C284" s="10"/>
      <c r="D284" s="10"/>
      <c r="E284" s="10"/>
      <c r="F284" s="10"/>
      <c r="G284" s="10"/>
      <c r="H284" s="10"/>
      <c r="I284" s="10"/>
      <c r="J284" s="10"/>
    </row>
    <row r="285" ht="14.25" customHeight="1">
      <c r="A285" s="41"/>
      <c r="B285" s="16"/>
      <c r="C285" s="10"/>
      <c r="D285" s="10"/>
      <c r="E285" s="10"/>
      <c r="F285" s="10"/>
      <c r="G285" s="10"/>
      <c r="H285" s="10"/>
      <c r="I285" s="10"/>
      <c r="J285" s="10"/>
    </row>
    <row r="286" ht="14.25" customHeight="1">
      <c r="A286" s="41"/>
      <c r="B286" s="16"/>
      <c r="C286" s="10"/>
      <c r="D286" s="10"/>
      <c r="E286" s="10"/>
      <c r="F286" s="10"/>
      <c r="G286" s="10"/>
      <c r="H286" s="10"/>
      <c r="I286" s="10"/>
      <c r="J286" s="10"/>
    </row>
    <row r="287" ht="14.25" customHeight="1">
      <c r="A287" s="41"/>
      <c r="B287" s="16"/>
      <c r="C287" s="10"/>
      <c r="D287" s="10"/>
      <c r="E287" s="10"/>
      <c r="F287" s="10"/>
      <c r="G287" s="10"/>
      <c r="H287" s="10"/>
      <c r="I287" s="10"/>
      <c r="J287" s="10"/>
    </row>
    <row r="288" ht="14.25" customHeight="1">
      <c r="A288" s="41"/>
      <c r="B288" s="16"/>
      <c r="C288" s="10"/>
      <c r="D288" s="10"/>
      <c r="E288" s="10"/>
      <c r="F288" s="10"/>
      <c r="G288" s="10"/>
      <c r="H288" s="10"/>
      <c r="I288" s="10"/>
      <c r="J288" s="10"/>
    </row>
    <row r="289" ht="14.25" customHeight="1">
      <c r="A289" s="41"/>
      <c r="B289" s="16"/>
      <c r="C289" s="10"/>
      <c r="D289" s="10"/>
      <c r="E289" s="10"/>
      <c r="F289" s="10"/>
      <c r="G289" s="10"/>
      <c r="H289" s="10"/>
      <c r="I289" s="10"/>
      <c r="J289" s="10"/>
    </row>
    <row r="290" ht="14.25" customHeight="1">
      <c r="A290" s="41"/>
      <c r="B290" s="16"/>
      <c r="C290" s="10"/>
      <c r="D290" s="10"/>
      <c r="E290" s="10"/>
      <c r="F290" s="10"/>
      <c r="G290" s="10"/>
      <c r="H290" s="10"/>
      <c r="I290" s="10"/>
      <c r="J290" s="10"/>
    </row>
    <row r="291" ht="14.25" customHeight="1">
      <c r="A291" s="41"/>
      <c r="B291" s="16"/>
      <c r="C291" s="10"/>
      <c r="D291" s="10"/>
      <c r="E291" s="10"/>
      <c r="F291" s="10"/>
      <c r="G291" s="10"/>
      <c r="H291" s="10"/>
      <c r="I291" s="10"/>
      <c r="J291" s="10"/>
    </row>
    <row r="292" ht="14.25" customHeight="1">
      <c r="A292" s="41"/>
      <c r="B292" s="16"/>
      <c r="C292" s="10"/>
      <c r="D292" s="10"/>
      <c r="E292" s="10"/>
      <c r="F292" s="10"/>
      <c r="G292" s="10"/>
      <c r="H292" s="10"/>
      <c r="I292" s="10"/>
      <c r="J292" s="10"/>
    </row>
    <row r="293" ht="14.25" customHeight="1">
      <c r="A293" s="41"/>
      <c r="B293" s="16"/>
      <c r="C293" s="10"/>
      <c r="D293" s="10"/>
      <c r="E293" s="10"/>
      <c r="F293" s="10"/>
      <c r="G293" s="10"/>
      <c r="H293" s="10"/>
      <c r="I293" s="10"/>
      <c r="J293" s="10"/>
    </row>
    <row r="294" ht="14.25" customHeight="1">
      <c r="A294" s="41"/>
      <c r="B294" s="16"/>
      <c r="C294" s="10"/>
      <c r="D294" s="10"/>
      <c r="E294" s="10"/>
      <c r="F294" s="10"/>
      <c r="G294" s="10"/>
      <c r="H294" s="10"/>
      <c r="I294" s="10"/>
      <c r="J294" s="10"/>
    </row>
    <row r="295" ht="14.25" customHeight="1">
      <c r="A295" s="41"/>
      <c r="B295" s="16"/>
      <c r="C295" s="10"/>
      <c r="D295" s="10"/>
      <c r="E295" s="10"/>
      <c r="F295" s="10"/>
      <c r="G295" s="10"/>
      <c r="H295" s="10"/>
      <c r="I295" s="10"/>
      <c r="J295" s="10"/>
    </row>
    <row r="296" ht="14.25" customHeight="1">
      <c r="A296" s="41"/>
      <c r="B296" s="16"/>
      <c r="C296" s="10"/>
      <c r="D296" s="10"/>
      <c r="E296" s="10"/>
      <c r="F296" s="10"/>
      <c r="G296" s="10"/>
      <c r="H296" s="10"/>
      <c r="I296" s="10"/>
      <c r="J296" s="10"/>
    </row>
    <row r="297" ht="14.25" customHeight="1">
      <c r="A297" s="41"/>
      <c r="B297" s="16"/>
      <c r="C297" s="10"/>
      <c r="D297" s="10"/>
      <c r="E297" s="10"/>
      <c r="F297" s="10"/>
      <c r="G297" s="10"/>
      <c r="H297" s="10"/>
      <c r="I297" s="10"/>
      <c r="J297" s="10"/>
    </row>
    <row r="298" ht="14.25" customHeight="1">
      <c r="A298" s="41"/>
      <c r="B298" s="16"/>
      <c r="C298" s="10"/>
      <c r="D298" s="10"/>
      <c r="E298" s="10"/>
      <c r="F298" s="10"/>
      <c r="G298" s="10"/>
      <c r="H298" s="10"/>
      <c r="I298" s="10"/>
      <c r="J298" s="10"/>
    </row>
    <row r="299" ht="14.25" customHeight="1">
      <c r="A299" s="41"/>
      <c r="B299" s="16"/>
      <c r="C299" s="10"/>
      <c r="D299" s="10"/>
      <c r="E299" s="10"/>
      <c r="F299" s="10"/>
      <c r="G299" s="10"/>
      <c r="H299" s="10"/>
      <c r="I299" s="10"/>
      <c r="J299" s="10"/>
    </row>
    <row r="300" ht="14.25" customHeight="1">
      <c r="A300" s="41"/>
      <c r="B300" s="16"/>
      <c r="C300" s="10"/>
      <c r="D300" s="10"/>
      <c r="E300" s="10"/>
      <c r="F300" s="10"/>
      <c r="G300" s="10"/>
      <c r="H300" s="10"/>
      <c r="I300" s="10"/>
      <c r="J300" s="10"/>
    </row>
    <row r="301" ht="14.25" customHeight="1">
      <c r="A301" s="41"/>
      <c r="B301" s="16"/>
      <c r="C301" s="10"/>
      <c r="D301" s="10"/>
      <c r="E301" s="10"/>
      <c r="F301" s="10"/>
      <c r="G301" s="10"/>
      <c r="H301" s="10"/>
      <c r="I301" s="10"/>
      <c r="J301" s="10"/>
    </row>
    <row r="302" ht="14.25" customHeight="1">
      <c r="A302" s="41"/>
      <c r="B302" s="16"/>
      <c r="C302" s="10"/>
      <c r="D302" s="10"/>
      <c r="E302" s="10"/>
      <c r="F302" s="10"/>
      <c r="G302" s="10"/>
      <c r="H302" s="10"/>
      <c r="I302" s="10"/>
      <c r="J302" s="10"/>
    </row>
    <row r="303" ht="14.25" customHeight="1">
      <c r="A303" s="41"/>
      <c r="B303" s="16"/>
      <c r="C303" s="10"/>
      <c r="D303" s="10"/>
      <c r="E303" s="10"/>
      <c r="F303" s="10"/>
      <c r="G303" s="10"/>
      <c r="H303" s="10"/>
      <c r="I303" s="10"/>
      <c r="J303" s="10"/>
    </row>
    <row r="304" ht="14.25" customHeight="1">
      <c r="A304" s="41"/>
      <c r="B304" s="16"/>
      <c r="C304" s="10"/>
      <c r="D304" s="10"/>
      <c r="E304" s="10"/>
      <c r="F304" s="10"/>
      <c r="G304" s="10"/>
      <c r="H304" s="10"/>
      <c r="I304" s="10"/>
      <c r="J304" s="10"/>
    </row>
    <row r="305" ht="14.25" customHeight="1">
      <c r="A305" s="41"/>
      <c r="B305" s="16"/>
      <c r="C305" s="10"/>
      <c r="D305" s="10"/>
      <c r="E305" s="10"/>
      <c r="F305" s="10"/>
      <c r="G305" s="10"/>
      <c r="H305" s="10"/>
      <c r="I305" s="10"/>
      <c r="J305" s="10"/>
    </row>
    <row r="306" ht="14.25" customHeight="1">
      <c r="A306" s="41"/>
      <c r="B306" s="16"/>
      <c r="C306" s="10"/>
      <c r="D306" s="10"/>
      <c r="E306" s="10"/>
      <c r="F306" s="10"/>
      <c r="G306" s="10"/>
      <c r="H306" s="10"/>
      <c r="I306" s="10"/>
      <c r="J306" s="10"/>
    </row>
    <row r="307" ht="14.25" customHeight="1">
      <c r="A307" s="41"/>
      <c r="B307" s="16"/>
      <c r="C307" s="10"/>
      <c r="D307" s="10"/>
      <c r="E307" s="10"/>
      <c r="F307" s="10"/>
      <c r="G307" s="10"/>
      <c r="H307" s="10"/>
      <c r="I307" s="10"/>
      <c r="J307" s="10"/>
    </row>
    <row r="308" ht="14.25" customHeight="1">
      <c r="A308" s="41"/>
      <c r="B308" s="16"/>
      <c r="C308" s="10"/>
      <c r="D308" s="10"/>
      <c r="E308" s="10"/>
      <c r="F308" s="10"/>
      <c r="G308" s="10"/>
      <c r="H308" s="10"/>
      <c r="I308" s="10"/>
      <c r="J308" s="10"/>
    </row>
    <row r="309" ht="14.25" customHeight="1">
      <c r="A309" s="41"/>
      <c r="B309" s="16"/>
      <c r="C309" s="10"/>
      <c r="D309" s="10"/>
      <c r="E309" s="10"/>
      <c r="F309" s="10"/>
      <c r="G309" s="10"/>
      <c r="H309" s="10"/>
      <c r="I309" s="10"/>
      <c r="J309" s="10"/>
    </row>
    <row r="310" ht="14.25" customHeight="1">
      <c r="A310" s="41"/>
      <c r="B310" s="16"/>
      <c r="C310" s="10"/>
      <c r="D310" s="10"/>
      <c r="E310" s="10"/>
      <c r="F310" s="10"/>
      <c r="G310" s="10"/>
      <c r="H310" s="10"/>
      <c r="I310" s="10"/>
      <c r="J310" s="10"/>
    </row>
    <row r="311" ht="14.25" customHeight="1">
      <c r="A311" s="41"/>
      <c r="B311" s="16"/>
      <c r="C311" s="10"/>
      <c r="D311" s="10"/>
      <c r="E311" s="10"/>
      <c r="F311" s="10"/>
      <c r="G311" s="10"/>
      <c r="H311" s="10"/>
      <c r="I311" s="10"/>
      <c r="J311" s="10"/>
    </row>
    <row r="312" ht="14.25" customHeight="1">
      <c r="A312" s="41"/>
      <c r="B312" s="16"/>
      <c r="C312" s="10"/>
      <c r="D312" s="10"/>
      <c r="E312" s="10"/>
      <c r="F312" s="10"/>
      <c r="G312" s="10"/>
      <c r="H312" s="10"/>
      <c r="I312" s="10"/>
      <c r="J312" s="10"/>
    </row>
    <row r="313" ht="14.25" customHeight="1">
      <c r="A313" s="41"/>
      <c r="B313" s="16"/>
      <c r="C313" s="10"/>
      <c r="D313" s="10"/>
      <c r="E313" s="10"/>
      <c r="F313" s="10"/>
      <c r="G313" s="10"/>
      <c r="H313" s="10"/>
      <c r="I313" s="10"/>
      <c r="J313" s="10"/>
    </row>
    <row r="314" ht="14.25" customHeight="1">
      <c r="A314" s="41"/>
      <c r="B314" s="16"/>
      <c r="C314" s="10"/>
      <c r="D314" s="10"/>
      <c r="E314" s="10"/>
      <c r="F314" s="10"/>
      <c r="G314" s="10"/>
      <c r="H314" s="10"/>
      <c r="I314" s="10"/>
      <c r="J314" s="10"/>
    </row>
    <row r="315" ht="14.25" customHeight="1">
      <c r="A315" s="41"/>
      <c r="B315" s="16"/>
      <c r="C315" s="10"/>
      <c r="D315" s="10"/>
      <c r="E315" s="10"/>
      <c r="F315" s="10"/>
      <c r="G315" s="10"/>
      <c r="H315" s="10"/>
      <c r="I315" s="10"/>
      <c r="J315" s="10"/>
    </row>
    <row r="316" ht="14.25" customHeight="1">
      <c r="A316" s="41"/>
      <c r="B316" s="16"/>
      <c r="C316" s="10"/>
      <c r="D316" s="10"/>
      <c r="E316" s="10"/>
      <c r="F316" s="10"/>
      <c r="G316" s="10"/>
      <c r="H316" s="10"/>
      <c r="I316" s="10"/>
      <c r="J316" s="10"/>
    </row>
    <row r="317" ht="14.25" customHeight="1">
      <c r="A317" s="41"/>
      <c r="B317" s="16"/>
      <c r="C317" s="10"/>
      <c r="D317" s="10"/>
      <c r="E317" s="10"/>
      <c r="F317" s="10"/>
      <c r="G317" s="10"/>
      <c r="H317" s="10"/>
      <c r="I317" s="10"/>
      <c r="J317" s="10"/>
    </row>
    <row r="318" ht="14.25" customHeight="1">
      <c r="A318" s="41"/>
      <c r="B318" s="16"/>
      <c r="C318" s="10"/>
      <c r="D318" s="10"/>
      <c r="E318" s="10"/>
      <c r="F318" s="10"/>
      <c r="G318" s="10"/>
      <c r="H318" s="10"/>
      <c r="I318" s="10"/>
      <c r="J318" s="10"/>
    </row>
    <row r="319" ht="14.25" customHeight="1">
      <c r="A319" s="41"/>
      <c r="B319" s="16"/>
      <c r="C319" s="10"/>
      <c r="D319" s="10"/>
      <c r="E319" s="10"/>
      <c r="F319" s="10"/>
      <c r="G319" s="10"/>
      <c r="H319" s="10"/>
      <c r="I319" s="10"/>
      <c r="J319" s="10"/>
    </row>
    <row r="320" ht="14.25" customHeight="1">
      <c r="A320" s="41"/>
      <c r="B320" s="16"/>
      <c r="C320" s="10"/>
      <c r="D320" s="10"/>
      <c r="E320" s="10"/>
      <c r="F320" s="10"/>
      <c r="G320" s="10"/>
      <c r="H320" s="10"/>
      <c r="I320" s="10"/>
      <c r="J320" s="10"/>
    </row>
    <row r="321" ht="14.25" customHeight="1">
      <c r="A321" s="41"/>
      <c r="B321" s="16"/>
      <c r="C321" s="10"/>
      <c r="D321" s="10"/>
      <c r="E321" s="10"/>
      <c r="F321" s="10"/>
      <c r="G321" s="10"/>
      <c r="H321" s="10"/>
      <c r="I321" s="10"/>
      <c r="J321" s="10"/>
    </row>
    <row r="322" ht="14.25" customHeight="1">
      <c r="A322" s="41"/>
      <c r="B322" s="16"/>
      <c r="C322" s="10"/>
      <c r="D322" s="10"/>
      <c r="E322" s="10"/>
      <c r="F322" s="10"/>
      <c r="G322" s="10"/>
      <c r="H322" s="10"/>
      <c r="I322" s="10"/>
      <c r="J322" s="10"/>
    </row>
    <row r="323" ht="14.25" customHeight="1">
      <c r="A323" s="41"/>
      <c r="B323" s="16"/>
      <c r="C323" s="10"/>
      <c r="D323" s="10"/>
      <c r="E323" s="10"/>
      <c r="F323" s="10"/>
      <c r="G323" s="10"/>
      <c r="H323" s="10"/>
      <c r="I323" s="10"/>
      <c r="J323" s="10"/>
    </row>
    <row r="324" ht="14.25" customHeight="1">
      <c r="A324" s="41"/>
      <c r="B324" s="16"/>
      <c r="C324" s="10"/>
      <c r="D324" s="10"/>
      <c r="E324" s="10"/>
      <c r="F324" s="10"/>
      <c r="G324" s="10"/>
      <c r="H324" s="10"/>
      <c r="I324" s="10"/>
      <c r="J324" s="10"/>
    </row>
    <row r="325" ht="14.25" customHeight="1">
      <c r="A325" s="41"/>
      <c r="B325" s="16"/>
      <c r="C325" s="10"/>
      <c r="D325" s="10"/>
      <c r="E325" s="10"/>
      <c r="F325" s="10"/>
      <c r="G325" s="10"/>
      <c r="H325" s="10"/>
      <c r="I325" s="10"/>
      <c r="J325" s="10"/>
    </row>
    <row r="326" ht="14.25" customHeight="1">
      <c r="A326" s="41"/>
      <c r="B326" s="16"/>
      <c r="C326" s="10"/>
      <c r="D326" s="10"/>
      <c r="E326" s="10"/>
      <c r="F326" s="10"/>
      <c r="G326" s="10"/>
      <c r="H326" s="10"/>
      <c r="I326" s="10"/>
      <c r="J326" s="10"/>
    </row>
    <row r="327" ht="14.25" customHeight="1">
      <c r="A327" s="41"/>
      <c r="B327" s="16"/>
      <c r="C327" s="10"/>
      <c r="D327" s="10"/>
      <c r="E327" s="10"/>
      <c r="F327" s="10"/>
      <c r="G327" s="10"/>
      <c r="H327" s="10"/>
      <c r="I327" s="10"/>
      <c r="J327" s="10"/>
    </row>
    <row r="328" ht="14.25" customHeight="1">
      <c r="A328" s="41"/>
      <c r="B328" s="16"/>
      <c r="C328" s="10"/>
      <c r="D328" s="10"/>
      <c r="E328" s="10"/>
      <c r="F328" s="10"/>
      <c r="G328" s="10"/>
      <c r="H328" s="10"/>
      <c r="I328" s="10"/>
      <c r="J328" s="10"/>
    </row>
    <row r="329" ht="14.25" customHeight="1">
      <c r="A329" s="41"/>
      <c r="B329" s="16"/>
      <c r="C329" s="10"/>
      <c r="D329" s="10"/>
      <c r="E329" s="10"/>
      <c r="F329" s="10"/>
      <c r="G329" s="10"/>
      <c r="H329" s="10"/>
      <c r="I329" s="10"/>
      <c r="J329" s="10"/>
    </row>
    <row r="330" ht="14.25" customHeight="1">
      <c r="A330" s="41"/>
      <c r="B330" s="16"/>
      <c r="C330" s="10"/>
      <c r="D330" s="10"/>
      <c r="E330" s="10"/>
      <c r="F330" s="10"/>
      <c r="G330" s="10"/>
      <c r="H330" s="10"/>
      <c r="I330" s="10"/>
      <c r="J330" s="10"/>
    </row>
    <row r="331" ht="14.25" customHeight="1">
      <c r="A331" s="41"/>
      <c r="B331" s="16"/>
      <c r="C331" s="10"/>
      <c r="D331" s="10"/>
      <c r="E331" s="10"/>
      <c r="F331" s="10"/>
      <c r="G331" s="10"/>
      <c r="H331" s="10"/>
      <c r="I331" s="10"/>
      <c r="J331" s="10"/>
    </row>
    <row r="332" ht="14.25" customHeight="1">
      <c r="A332" s="41"/>
      <c r="B332" s="16"/>
      <c r="C332" s="10"/>
      <c r="D332" s="10"/>
      <c r="E332" s="10"/>
      <c r="F332" s="10"/>
      <c r="G332" s="10"/>
      <c r="H332" s="10"/>
      <c r="I332" s="10"/>
      <c r="J332" s="10"/>
    </row>
    <row r="333" ht="14.25" customHeight="1">
      <c r="A333" s="41"/>
      <c r="B333" s="16"/>
      <c r="C333" s="10"/>
      <c r="D333" s="10"/>
      <c r="E333" s="10"/>
      <c r="F333" s="10"/>
      <c r="G333" s="10"/>
      <c r="H333" s="10"/>
      <c r="I333" s="10"/>
      <c r="J333" s="10"/>
    </row>
    <row r="334" ht="14.25" customHeight="1">
      <c r="A334" s="41"/>
      <c r="B334" s="16"/>
      <c r="C334" s="10"/>
      <c r="D334" s="10"/>
      <c r="E334" s="10"/>
      <c r="F334" s="10"/>
      <c r="G334" s="10"/>
      <c r="H334" s="10"/>
      <c r="I334" s="10"/>
      <c r="J334" s="10"/>
    </row>
    <row r="335" ht="14.25" customHeight="1">
      <c r="A335" s="41"/>
      <c r="B335" s="16"/>
      <c r="C335" s="10"/>
      <c r="D335" s="10"/>
      <c r="E335" s="10"/>
      <c r="F335" s="10"/>
      <c r="G335" s="10"/>
      <c r="H335" s="10"/>
      <c r="I335" s="10"/>
      <c r="J335" s="10"/>
    </row>
    <row r="336" ht="14.25" customHeight="1">
      <c r="A336" s="41"/>
      <c r="B336" s="16"/>
      <c r="C336" s="10"/>
      <c r="D336" s="10"/>
      <c r="E336" s="10"/>
      <c r="F336" s="10"/>
      <c r="G336" s="10"/>
      <c r="H336" s="10"/>
      <c r="I336" s="10"/>
      <c r="J336" s="10"/>
    </row>
    <row r="337" ht="14.25" customHeight="1">
      <c r="A337" s="41"/>
      <c r="B337" s="16"/>
      <c r="C337" s="10"/>
      <c r="D337" s="10"/>
      <c r="E337" s="10"/>
      <c r="F337" s="10"/>
      <c r="G337" s="10"/>
      <c r="H337" s="10"/>
      <c r="I337" s="10"/>
      <c r="J337" s="10"/>
    </row>
    <row r="338" ht="14.25" customHeight="1">
      <c r="A338" s="41"/>
      <c r="B338" s="16"/>
      <c r="C338" s="10"/>
      <c r="D338" s="10"/>
      <c r="E338" s="10"/>
      <c r="F338" s="10"/>
      <c r="G338" s="10"/>
      <c r="H338" s="10"/>
      <c r="I338" s="10"/>
      <c r="J338" s="10"/>
    </row>
    <row r="339" ht="14.25" customHeight="1">
      <c r="A339" s="41"/>
      <c r="B339" s="16"/>
      <c r="C339" s="10"/>
      <c r="D339" s="10"/>
      <c r="E339" s="10"/>
      <c r="F339" s="10"/>
      <c r="G339" s="10"/>
      <c r="H339" s="10"/>
      <c r="I339" s="10"/>
      <c r="J339" s="10"/>
    </row>
    <row r="340" ht="14.25" customHeight="1">
      <c r="A340" s="41"/>
      <c r="B340" s="16"/>
      <c r="C340" s="10"/>
      <c r="D340" s="10"/>
      <c r="E340" s="10"/>
      <c r="F340" s="10"/>
      <c r="G340" s="10"/>
      <c r="H340" s="10"/>
      <c r="I340" s="10"/>
      <c r="J340" s="10"/>
    </row>
    <row r="341" ht="14.25" customHeight="1">
      <c r="A341" s="41"/>
      <c r="B341" s="16"/>
      <c r="C341" s="10"/>
      <c r="D341" s="10"/>
      <c r="E341" s="10"/>
      <c r="F341" s="10"/>
      <c r="G341" s="10"/>
      <c r="H341" s="10"/>
      <c r="I341" s="10"/>
      <c r="J341" s="10"/>
    </row>
    <row r="342" ht="14.25" customHeight="1">
      <c r="A342" s="41"/>
      <c r="B342" s="16"/>
      <c r="C342" s="10"/>
      <c r="D342" s="10"/>
      <c r="E342" s="10"/>
      <c r="F342" s="10"/>
      <c r="G342" s="10"/>
      <c r="H342" s="10"/>
      <c r="I342" s="10"/>
      <c r="J342" s="10"/>
    </row>
    <row r="343" ht="14.25" customHeight="1">
      <c r="A343" s="41"/>
      <c r="B343" s="16"/>
      <c r="C343" s="10"/>
      <c r="D343" s="10"/>
      <c r="E343" s="10"/>
      <c r="F343" s="10"/>
      <c r="G343" s="10"/>
      <c r="H343" s="10"/>
      <c r="I343" s="10"/>
      <c r="J343" s="10"/>
    </row>
    <row r="344" ht="14.25" customHeight="1">
      <c r="A344" s="41"/>
      <c r="B344" s="16"/>
      <c r="C344" s="10"/>
      <c r="D344" s="10"/>
      <c r="E344" s="10"/>
      <c r="F344" s="10"/>
      <c r="G344" s="10"/>
      <c r="H344" s="10"/>
      <c r="I344" s="10"/>
      <c r="J344" s="10"/>
    </row>
    <row r="345" ht="14.25" customHeight="1">
      <c r="A345" s="41"/>
      <c r="B345" s="16"/>
      <c r="C345" s="10"/>
      <c r="D345" s="10"/>
      <c r="E345" s="10"/>
      <c r="F345" s="10"/>
      <c r="G345" s="10"/>
      <c r="H345" s="10"/>
      <c r="I345" s="10"/>
      <c r="J345" s="10"/>
    </row>
    <row r="346" ht="14.25" customHeight="1">
      <c r="A346" s="41"/>
      <c r="B346" s="16"/>
      <c r="C346" s="10"/>
      <c r="D346" s="10"/>
      <c r="E346" s="10"/>
      <c r="F346" s="10"/>
      <c r="G346" s="10"/>
      <c r="H346" s="10"/>
      <c r="I346" s="10"/>
      <c r="J346" s="10"/>
    </row>
    <row r="347" ht="14.25" customHeight="1">
      <c r="A347" s="41"/>
      <c r="B347" s="16"/>
      <c r="C347" s="10"/>
      <c r="D347" s="10"/>
      <c r="E347" s="10"/>
      <c r="F347" s="10"/>
      <c r="G347" s="10"/>
      <c r="H347" s="10"/>
      <c r="I347" s="10"/>
      <c r="J347" s="10"/>
    </row>
    <row r="348" ht="14.25" customHeight="1">
      <c r="A348" s="41"/>
      <c r="B348" s="16"/>
      <c r="C348" s="10"/>
      <c r="D348" s="10"/>
      <c r="E348" s="10"/>
      <c r="F348" s="10"/>
      <c r="G348" s="10"/>
      <c r="H348" s="10"/>
      <c r="I348" s="10"/>
      <c r="J348" s="10"/>
    </row>
    <row r="349" ht="14.25" customHeight="1">
      <c r="A349" s="41"/>
      <c r="B349" s="16"/>
      <c r="C349" s="10"/>
      <c r="D349" s="10"/>
      <c r="E349" s="10"/>
      <c r="F349" s="10"/>
      <c r="G349" s="10"/>
      <c r="H349" s="10"/>
      <c r="I349" s="10"/>
      <c r="J349" s="10"/>
    </row>
    <row r="350" ht="14.25" customHeight="1">
      <c r="A350" s="41"/>
      <c r="B350" s="16"/>
      <c r="C350" s="10"/>
      <c r="D350" s="10"/>
      <c r="E350" s="10"/>
      <c r="F350" s="10"/>
      <c r="G350" s="10"/>
      <c r="H350" s="10"/>
      <c r="I350" s="10"/>
      <c r="J350" s="10"/>
    </row>
    <row r="351" ht="14.25" customHeight="1">
      <c r="A351" s="41"/>
      <c r="B351" s="16"/>
      <c r="C351" s="10"/>
      <c r="D351" s="10"/>
      <c r="E351" s="10"/>
      <c r="F351" s="10"/>
      <c r="G351" s="10"/>
      <c r="H351" s="10"/>
      <c r="I351" s="10"/>
      <c r="J351" s="10"/>
    </row>
    <row r="352" ht="14.25" customHeight="1">
      <c r="A352" s="41"/>
      <c r="B352" s="16"/>
      <c r="C352" s="10"/>
      <c r="D352" s="10"/>
      <c r="E352" s="10"/>
      <c r="F352" s="10"/>
      <c r="G352" s="10"/>
      <c r="H352" s="10"/>
      <c r="I352" s="10"/>
      <c r="J352" s="10"/>
    </row>
    <row r="353" ht="14.25" customHeight="1">
      <c r="A353" s="41"/>
      <c r="B353" s="16"/>
      <c r="C353" s="10"/>
      <c r="D353" s="10"/>
      <c r="E353" s="10"/>
      <c r="F353" s="10"/>
      <c r="G353" s="10"/>
      <c r="H353" s="10"/>
      <c r="I353" s="10"/>
      <c r="J353" s="10"/>
    </row>
    <row r="354" ht="14.25" customHeight="1">
      <c r="A354" s="41"/>
      <c r="B354" s="16"/>
      <c r="C354" s="10"/>
      <c r="D354" s="10"/>
      <c r="E354" s="10"/>
      <c r="F354" s="10"/>
      <c r="G354" s="10"/>
      <c r="H354" s="10"/>
      <c r="I354" s="10"/>
      <c r="J354" s="10"/>
    </row>
    <row r="355" ht="14.25" customHeight="1">
      <c r="A355" s="41"/>
      <c r="B355" s="16"/>
      <c r="C355" s="10"/>
      <c r="D355" s="10"/>
      <c r="E355" s="10"/>
      <c r="F355" s="10"/>
      <c r="G355" s="10"/>
      <c r="H355" s="10"/>
      <c r="I355" s="10"/>
      <c r="J355" s="10"/>
    </row>
    <row r="356" ht="14.25" customHeight="1">
      <c r="A356" s="41"/>
      <c r="B356" s="16"/>
      <c r="C356" s="10"/>
      <c r="D356" s="10"/>
      <c r="E356" s="10"/>
      <c r="F356" s="10"/>
      <c r="G356" s="10"/>
      <c r="H356" s="10"/>
      <c r="I356" s="10"/>
      <c r="J356" s="10"/>
    </row>
    <row r="357" ht="14.25" customHeight="1">
      <c r="A357" s="41"/>
      <c r="B357" s="16"/>
      <c r="C357" s="10"/>
      <c r="D357" s="10"/>
      <c r="E357" s="10"/>
      <c r="F357" s="10"/>
      <c r="G357" s="10"/>
      <c r="H357" s="10"/>
      <c r="I357" s="10"/>
      <c r="J357" s="10"/>
    </row>
    <row r="358" ht="14.25" customHeight="1">
      <c r="A358" s="41"/>
      <c r="B358" s="16"/>
      <c r="C358" s="10"/>
      <c r="D358" s="10"/>
      <c r="E358" s="10"/>
      <c r="F358" s="10"/>
      <c r="G358" s="10"/>
      <c r="H358" s="10"/>
      <c r="I358" s="10"/>
      <c r="J358" s="10"/>
    </row>
    <row r="359" ht="14.25" customHeight="1">
      <c r="A359" s="41"/>
      <c r="B359" s="16"/>
      <c r="C359" s="10"/>
      <c r="D359" s="10"/>
      <c r="E359" s="10"/>
      <c r="F359" s="10"/>
      <c r="G359" s="10"/>
      <c r="H359" s="10"/>
      <c r="I359" s="10"/>
      <c r="J359" s="10"/>
    </row>
    <row r="360" ht="14.25" customHeight="1">
      <c r="A360" s="41"/>
      <c r="B360" s="16"/>
      <c r="C360" s="10"/>
      <c r="D360" s="10"/>
      <c r="E360" s="10"/>
      <c r="F360" s="10"/>
      <c r="G360" s="10"/>
      <c r="H360" s="10"/>
      <c r="I360" s="10"/>
      <c r="J360" s="10"/>
    </row>
    <row r="361" ht="14.25" customHeight="1">
      <c r="A361" s="41"/>
      <c r="B361" s="16"/>
      <c r="C361" s="10"/>
      <c r="D361" s="10"/>
      <c r="E361" s="10"/>
      <c r="F361" s="10"/>
      <c r="G361" s="10"/>
      <c r="H361" s="10"/>
      <c r="I361" s="10"/>
      <c r="J361" s="10"/>
    </row>
    <row r="362" ht="14.25" customHeight="1">
      <c r="A362" s="41"/>
      <c r="B362" s="16"/>
      <c r="C362" s="10"/>
      <c r="D362" s="10"/>
      <c r="E362" s="10"/>
      <c r="F362" s="10"/>
      <c r="G362" s="10"/>
      <c r="H362" s="10"/>
      <c r="I362" s="10"/>
      <c r="J362" s="10"/>
    </row>
    <row r="363" ht="14.25" customHeight="1">
      <c r="A363" s="41"/>
      <c r="B363" s="16"/>
      <c r="C363" s="10"/>
      <c r="D363" s="10"/>
      <c r="E363" s="10"/>
      <c r="F363" s="10"/>
      <c r="G363" s="10"/>
      <c r="H363" s="10"/>
      <c r="I363" s="10"/>
      <c r="J363" s="10"/>
    </row>
    <row r="364" ht="14.25" customHeight="1">
      <c r="A364" s="41"/>
      <c r="B364" s="16"/>
      <c r="C364" s="10"/>
      <c r="D364" s="10"/>
      <c r="E364" s="10"/>
      <c r="F364" s="10"/>
      <c r="G364" s="10"/>
      <c r="H364" s="10"/>
      <c r="I364" s="10"/>
      <c r="J364" s="10"/>
    </row>
    <row r="365" ht="14.25" customHeight="1">
      <c r="A365" s="41"/>
      <c r="B365" s="16"/>
      <c r="C365" s="10"/>
      <c r="D365" s="10"/>
      <c r="E365" s="10"/>
      <c r="F365" s="10"/>
      <c r="G365" s="10"/>
      <c r="H365" s="10"/>
      <c r="I365" s="10"/>
      <c r="J365" s="10"/>
    </row>
    <row r="366" ht="14.25" customHeight="1">
      <c r="A366" s="41"/>
      <c r="B366" s="16"/>
      <c r="C366" s="10"/>
      <c r="D366" s="10"/>
      <c r="E366" s="10"/>
      <c r="F366" s="10"/>
      <c r="G366" s="10"/>
      <c r="H366" s="10"/>
      <c r="I366" s="10"/>
      <c r="J366" s="10"/>
    </row>
    <row r="367" ht="14.25" customHeight="1">
      <c r="A367" s="41"/>
      <c r="B367" s="16"/>
      <c r="C367" s="10"/>
      <c r="D367" s="10"/>
      <c r="E367" s="10"/>
      <c r="F367" s="10"/>
      <c r="G367" s="10"/>
      <c r="H367" s="10"/>
      <c r="I367" s="10"/>
      <c r="J367" s="10"/>
    </row>
    <row r="368" ht="14.25" customHeight="1">
      <c r="A368" s="41"/>
      <c r="B368" s="16"/>
      <c r="C368" s="10"/>
      <c r="D368" s="10"/>
      <c r="E368" s="10"/>
      <c r="F368" s="10"/>
      <c r="G368" s="10"/>
      <c r="H368" s="10"/>
      <c r="I368" s="10"/>
      <c r="J368" s="10"/>
    </row>
    <row r="369" ht="14.25" customHeight="1">
      <c r="A369" s="41"/>
      <c r="B369" s="16"/>
      <c r="C369" s="10"/>
      <c r="D369" s="10"/>
      <c r="E369" s="10"/>
      <c r="F369" s="10"/>
      <c r="G369" s="10"/>
      <c r="H369" s="10"/>
      <c r="I369" s="10"/>
      <c r="J369" s="10"/>
    </row>
    <row r="370" ht="14.25" customHeight="1">
      <c r="A370" s="41"/>
      <c r="B370" s="16"/>
      <c r="C370" s="10"/>
      <c r="D370" s="10"/>
      <c r="E370" s="10"/>
      <c r="F370" s="10"/>
      <c r="G370" s="10"/>
      <c r="H370" s="10"/>
      <c r="I370" s="10"/>
      <c r="J370" s="10"/>
    </row>
    <row r="371" ht="14.25" customHeight="1">
      <c r="A371" s="41"/>
      <c r="B371" s="16"/>
      <c r="C371" s="10"/>
      <c r="D371" s="10"/>
      <c r="E371" s="10"/>
      <c r="F371" s="10"/>
      <c r="G371" s="10"/>
      <c r="H371" s="10"/>
      <c r="I371" s="10"/>
      <c r="J371" s="10"/>
    </row>
    <row r="372" ht="14.25" customHeight="1">
      <c r="A372" s="41"/>
      <c r="B372" s="16"/>
      <c r="C372" s="10"/>
      <c r="D372" s="10"/>
      <c r="E372" s="10"/>
      <c r="F372" s="10"/>
      <c r="G372" s="10"/>
      <c r="H372" s="10"/>
      <c r="I372" s="10"/>
      <c r="J372" s="10"/>
    </row>
    <row r="373" ht="14.25" customHeight="1">
      <c r="A373" s="41"/>
      <c r="B373" s="16"/>
      <c r="C373" s="10"/>
      <c r="D373" s="10"/>
      <c r="E373" s="10"/>
      <c r="F373" s="10"/>
      <c r="G373" s="10"/>
      <c r="H373" s="10"/>
      <c r="I373" s="10"/>
      <c r="J373" s="10"/>
    </row>
    <row r="374" ht="14.25" customHeight="1">
      <c r="A374" s="41"/>
      <c r="B374" s="16"/>
      <c r="C374" s="10"/>
      <c r="D374" s="10"/>
      <c r="E374" s="10"/>
      <c r="F374" s="10"/>
      <c r="G374" s="10"/>
      <c r="H374" s="10"/>
      <c r="I374" s="10"/>
      <c r="J374" s="10"/>
    </row>
    <row r="375" ht="14.25" customHeight="1">
      <c r="A375" s="41"/>
      <c r="B375" s="16"/>
      <c r="C375" s="10"/>
      <c r="D375" s="10"/>
      <c r="E375" s="10"/>
      <c r="F375" s="10"/>
      <c r="G375" s="10"/>
      <c r="H375" s="10"/>
      <c r="I375" s="10"/>
      <c r="J375" s="10"/>
    </row>
    <row r="376" ht="14.25" customHeight="1">
      <c r="A376" s="41"/>
      <c r="B376" s="16"/>
      <c r="C376" s="10"/>
      <c r="D376" s="10"/>
      <c r="E376" s="10"/>
      <c r="F376" s="10"/>
      <c r="G376" s="10"/>
      <c r="H376" s="10"/>
      <c r="I376" s="10"/>
      <c r="J376" s="10"/>
    </row>
    <row r="377" ht="14.25" customHeight="1">
      <c r="A377" s="41"/>
      <c r="B377" s="16"/>
      <c r="C377" s="10"/>
      <c r="D377" s="10"/>
      <c r="E377" s="10"/>
      <c r="F377" s="10"/>
      <c r="G377" s="10"/>
      <c r="H377" s="10"/>
      <c r="I377" s="10"/>
      <c r="J377" s="10"/>
    </row>
    <row r="378" ht="14.25" customHeight="1">
      <c r="A378" s="41"/>
      <c r="B378" s="16"/>
      <c r="C378" s="10"/>
      <c r="D378" s="10"/>
      <c r="E378" s="10"/>
      <c r="F378" s="10"/>
      <c r="G378" s="10"/>
      <c r="H378" s="10"/>
      <c r="I378" s="10"/>
      <c r="J378" s="10"/>
    </row>
    <row r="379" ht="14.25" customHeight="1">
      <c r="A379" s="41"/>
      <c r="B379" s="16"/>
      <c r="C379" s="10"/>
      <c r="D379" s="10"/>
      <c r="E379" s="10"/>
      <c r="F379" s="10"/>
      <c r="G379" s="10"/>
      <c r="H379" s="10"/>
      <c r="I379" s="10"/>
      <c r="J379" s="10"/>
    </row>
    <row r="380" ht="14.25" customHeight="1">
      <c r="A380" s="41"/>
      <c r="B380" s="16"/>
      <c r="C380" s="10"/>
      <c r="D380" s="10"/>
      <c r="E380" s="10"/>
      <c r="F380" s="10"/>
      <c r="G380" s="10"/>
      <c r="H380" s="10"/>
      <c r="I380" s="10"/>
      <c r="J380" s="10"/>
    </row>
    <row r="381" ht="14.25" customHeight="1">
      <c r="A381" s="41"/>
      <c r="B381" s="16"/>
      <c r="C381" s="10"/>
      <c r="D381" s="10"/>
      <c r="E381" s="10"/>
      <c r="F381" s="10"/>
      <c r="G381" s="10"/>
      <c r="H381" s="10"/>
      <c r="I381" s="10"/>
      <c r="J381" s="10"/>
    </row>
    <row r="382" ht="14.25" customHeight="1">
      <c r="A382" s="41"/>
      <c r="B382" s="16"/>
      <c r="C382" s="10"/>
      <c r="D382" s="10"/>
      <c r="E382" s="10"/>
      <c r="F382" s="10"/>
      <c r="G382" s="10"/>
      <c r="H382" s="10"/>
      <c r="I382" s="10"/>
      <c r="J382" s="10"/>
    </row>
    <row r="383" ht="14.25" customHeight="1">
      <c r="A383" s="41"/>
      <c r="B383" s="16"/>
      <c r="C383" s="10"/>
      <c r="D383" s="10"/>
      <c r="E383" s="10"/>
      <c r="F383" s="10"/>
      <c r="G383" s="10"/>
      <c r="H383" s="10"/>
      <c r="I383" s="10"/>
      <c r="J383" s="10"/>
    </row>
    <row r="384" ht="14.25" customHeight="1">
      <c r="A384" s="41"/>
      <c r="B384" s="16"/>
      <c r="C384" s="10"/>
      <c r="D384" s="10"/>
      <c r="E384" s="10"/>
      <c r="F384" s="10"/>
      <c r="G384" s="10"/>
      <c r="H384" s="10"/>
      <c r="I384" s="10"/>
      <c r="J384" s="10"/>
    </row>
    <row r="385" ht="14.25" customHeight="1">
      <c r="A385" s="41"/>
      <c r="B385" s="16"/>
      <c r="C385" s="10"/>
      <c r="D385" s="10"/>
      <c r="E385" s="10"/>
      <c r="F385" s="10"/>
      <c r="G385" s="10"/>
      <c r="H385" s="10"/>
      <c r="I385" s="10"/>
      <c r="J385" s="10"/>
    </row>
    <row r="386" ht="14.25" customHeight="1">
      <c r="A386" s="41"/>
      <c r="B386" s="16"/>
      <c r="C386" s="10"/>
      <c r="D386" s="10"/>
      <c r="E386" s="10"/>
      <c r="F386" s="10"/>
      <c r="G386" s="10"/>
      <c r="H386" s="10"/>
      <c r="I386" s="10"/>
      <c r="J386" s="10"/>
    </row>
    <row r="387" ht="14.25" customHeight="1">
      <c r="A387" s="41"/>
      <c r="B387" s="16"/>
      <c r="C387" s="10"/>
      <c r="D387" s="10"/>
      <c r="E387" s="10"/>
      <c r="F387" s="10"/>
      <c r="G387" s="10"/>
      <c r="H387" s="10"/>
      <c r="I387" s="10"/>
      <c r="J387" s="10"/>
    </row>
    <row r="388" ht="14.25" customHeight="1">
      <c r="A388" s="41"/>
      <c r="B388" s="16"/>
      <c r="C388" s="10"/>
      <c r="D388" s="10"/>
      <c r="E388" s="10"/>
      <c r="F388" s="10"/>
      <c r="G388" s="10"/>
      <c r="H388" s="10"/>
      <c r="I388" s="10"/>
      <c r="J388" s="10"/>
    </row>
    <row r="389" ht="14.25" customHeight="1">
      <c r="A389" s="41"/>
      <c r="B389" s="16"/>
      <c r="C389" s="10"/>
      <c r="D389" s="10"/>
      <c r="E389" s="10"/>
      <c r="F389" s="10"/>
      <c r="G389" s="10"/>
      <c r="H389" s="10"/>
      <c r="I389" s="10"/>
      <c r="J389" s="10"/>
    </row>
    <row r="390" ht="14.25" customHeight="1">
      <c r="A390" s="41"/>
      <c r="B390" s="16"/>
      <c r="C390" s="10"/>
      <c r="D390" s="10"/>
      <c r="E390" s="10"/>
      <c r="F390" s="10"/>
      <c r="G390" s="10"/>
      <c r="H390" s="10"/>
      <c r="I390" s="10"/>
      <c r="J390" s="10"/>
    </row>
    <row r="391" ht="14.25" customHeight="1">
      <c r="A391" s="41"/>
      <c r="B391" s="16"/>
      <c r="C391" s="10"/>
      <c r="D391" s="10"/>
      <c r="E391" s="10"/>
      <c r="F391" s="10"/>
      <c r="G391" s="10"/>
      <c r="H391" s="10"/>
      <c r="I391" s="10"/>
      <c r="J391" s="10"/>
    </row>
    <row r="392" ht="14.25" customHeight="1">
      <c r="A392" s="41"/>
      <c r="B392" s="16"/>
      <c r="C392" s="10"/>
      <c r="D392" s="10"/>
      <c r="E392" s="10"/>
      <c r="F392" s="10"/>
      <c r="G392" s="10"/>
      <c r="H392" s="10"/>
      <c r="I392" s="10"/>
      <c r="J392" s="10"/>
    </row>
    <row r="393" ht="14.25" customHeight="1">
      <c r="A393" s="41"/>
      <c r="B393" s="16"/>
      <c r="C393" s="10"/>
      <c r="D393" s="10"/>
      <c r="E393" s="10"/>
      <c r="F393" s="10"/>
      <c r="G393" s="10"/>
      <c r="H393" s="10"/>
      <c r="I393" s="10"/>
      <c r="J393" s="10"/>
    </row>
    <row r="394" ht="14.25" customHeight="1">
      <c r="A394" s="41"/>
      <c r="B394" s="16"/>
      <c r="C394" s="10"/>
      <c r="D394" s="10"/>
      <c r="E394" s="10"/>
      <c r="F394" s="10"/>
      <c r="G394" s="10"/>
      <c r="H394" s="10"/>
      <c r="I394" s="10"/>
      <c r="J394" s="10"/>
    </row>
    <row r="395" ht="14.25" customHeight="1">
      <c r="A395" s="41"/>
      <c r="B395" s="16"/>
      <c r="C395" s="10"/>
      <c r="D395" s="10"/>
      <c r="E395" s="10"/>
      <c r="F395" s="10"/>
      <c r="G395" s="10"/>
      <c r="H395" s="10"/>
      <c r="I395" s="10"/>
      <c r="J395" s="10"/>
    </row>
    <row r="396" ht="14.25" customHeight="1">
      <c r="A396" s="41"/>
      <c r="B396" s="16"/>
      <c r="C396" s="10"/>
      <c r="D396" s="10"/>
      <c r="E396" s="10"/>
      <c r="F396" s="10"/>
      <c r="G396" s="10"/>
      <c r="H396" s="10"/>
      <c r="I396" s="10"/>
      <c r="J396" s="10"/>
    </row>
    <row r="397" ht="14.25" customHeight="1">
      <c r="A397" s="41"/>
      <c r="B397" s="16"/>
      <c r="C397" s="10"/>
      <c r="D397" s="10"/>
      <c r="E397" s="10"/>
      <c r="F397" s="10"/>
      <c r="G397" s="10"/>
      <c r="H397" s="10"/>
      <c r="I397" s="10"/>
      <c r="J397" s="10"/>
    </row>
    <row r="398" ht="14.25" customHeight="1">
      <c r="A398" s="41"/>
      <c r="B398" s="16"/>
      <c r="C398" s="10"/>
      <c r="D398" s="10"/>
      <c r="E398" s="10"/>
      <c r="F398" s="10"/>
      <c r="G398" s="10"/>
      <c r="H398" s="10"/>
      <c r="I398" s="10"/>
      <c r="J398" s="10"/>
    </row>
    <row r="399" ht="14.25" customHeight="1">
      <c r="A399" s="41"/>
      <c r="B399" s="16"/>
      <c r="C399" s="10"/>
      <c r="D399" s="10"/>
      <c r="E399" s="10"/>
      <c r="F399" s="10"/>
      <c r="G399" s="10"/>
      <c r="H399" s="10"/>
      <c r="I399" s="10"/>
      <c r="J399" s="10"/>
    </row>
    <row r="400" ht="14.25" customHeight="1">
      <c r="A400" s="41"/>
      <c r="B400" s="16"/>
      <c r="C400" s="10"/>
      <c r="D400" s="10"/>
      <c r="E400" s="10"/>
      <c r="F400" s="10"/>
      <c r="G400" s="10"/>
      <c r="H400" s="10"/>
      <c r="I400" s="10"/>
      <c r="J400" s="10"/>
    </row>
    <row r="401" ht="14.25" customHeight="1">
      <c r="A401" s="41"/>
      <c r="B401" s="16"/>
      <c r="C401" s="10"/>
      <c r="D401" s="10"/>
      <c r="E401" s="10"/>
      <c r="F401" s="10"/>
      <c r="G401" s="10"/>
      <c r="H401" s="10"/>
      <c r="I401" s="10"/>
      <c r="J401" s="10"/>
    </row>
    <row r="402" ht="14.25" customHeight="1">
      <c r="A402" s="41"/>
      <c r="B402" s="16"/>
      <c r="C402" s="10"/>
      <c r="D402" s="10"/>
      <c r="E402" s="10"/>
      <c r="F402" s="10"/>
      <c r="G402" s="10"/>
      <c r="H402" s="10"/>
      <c r="I402" s="10"/>
      <c r="J402" s="10"/>
    </row>
    <row r="403" ht="14.25" customHeight="1">
      <c r="A403" s="41"/>
      <c r="B403" s="16"/>
      <c r="C403" s="10"/>
      <c r="D403" s="10"/>
      <c r="E403" s="10"/>
      <c r="F403" s="10"/>
      <c r="G403" s="10"/>
      <c r="H403" s="10"/>
      <c r="I403" s="10"/>
      <c r="J403" s="10"/>
    </row>
    <row r="404" ht="14.25" customHeight="1">
      <c r="A404" s="41"/>
      <c r="B404" s="16"/>
      <c r="C404" s="10"/>
      <c r="D404" s="10"/>
      <c r="E404" s="10"/>
      <c r="F404" s="10"/>
      <c r="G404" s="10"/>
      <c r="H404" s="10"/>
      <c r="I404" s="10"/>
      <c r="J404" s="10"/>
    </row>
    <row r="405" ht="14.25" customHeight="1">
      <c r="A405" s="41"/>
      <c r="B405" s="16"/>
      <c r="C405" s="10"/>
      <c r="D405" s="10"/>
      <c r="E405" s="10"/>
      <c r="F405" s="10"/>
      <c r="G405" s="10"/>
      <c r="H405" s="10"/>
      <c r="I405" s="10"/>
      <c r="J405" s="10"/>
    </row>
    <row r="406" ht="14.25" customHeight="1">
      <c r="A406" s="41"/>
      <c r="B406" s="16"/>
      <c r="C406" s="10"/>
      <c r="D406" s="10"/>
      <c r="E406" s="10"/>
      <c r="F406" s="10"/>
      <c r="G406" s="10"/>
      <c r="H406" s="10"/>
      <c r="I406" s="10"/>
      <c r="J406" s="10"/>
    </row>
    <row r="407" ht="14.25" customHeight="1">
      <c r="A407" s="41"/>
      <c r="B407" s="16"/>
      <c r="C407" s="10"/>
      <c r="D407" s="10"/>
      <c r="E407" s="10"/>
      <c r="F407" s="10"/>
      <c r="G407" s="10"/>
      <c r="H407" s="10"/>
      <c r="I407" s="10"/>
      <c r="J407" s="10"/>
    </row>
    <row r="408" ht="14.25" customHeight="1">
      <c r="A408" s="41"/>
      <c r="B408" s="16"/>
      <c r="C408" s="10"/>
      <c r="D408" s="10"/>
      <c r="E408" s="10"/>
      <c r="F408" s="10"/>
      <c r="G408" s="10"/>
      <c r="H408" s="10"/>
      <c r="I408" s="10"/>
      <c r="J408" s="10"/>
    </row>
    <row r="409" ht="14.25" customHeight="1">
      <c r="A409" s="41"/>
      <c r="B409" s="16"/>
      <c r="C409" s="10"/>
      <c r="D409" s="10"/>
      <c r="E409" s="10"/>
      <c r="F409" s="10"/>
      <c r="G409" s="10"/>
      <c r="H409" s="10"/>
      <c r="I409" s="10"/>
      <c r="J409" s="10"/>
    </row>
    <row r="410" ht="14.25" customHeight="1">
      <c r="A410" s="41"/>
      <c r="B410" s="16"/>
      <c r="C410" s="10"/>
      <c r="D410" s="10"/>
      <c r="E410" s="10"/>
      <c r="F410" s="10"/>
      <c r="G410" s="10"/>
      <c r="H410" s="10"/>
      <c r="I410" s="10"/>
      <c r="J410" s="10"/>
    </row>
    <row r="411" ht="14.25" customHeight="1">
      <c r="A411" s="41"/>
      <c r="B411" s="16"/>
      <c r="C411" s="10"/>
      <c r="D411" s="10"/>
      <c r="E411" s="10"/>
      <c r="F411" s="10"/>
      <c r="G411" s="10"/>
      <c r="H411" s="10"/>
      <c r="I411" s="10"/>
      <c r="J411" s="10"/>
    </row>
    <row r="412" ht="14.25" customHeight="1">
      <c r="A412" s="41"/>
      <c r="B412" s="16"/>
      <c r="C412" s="10"/>
      <c r="D412" s="10"/>
      <c r="E412" s="10"/>
      <c r="F412" s="10"/>
      <c r="G412" s="10"/>
      <c r="H412" s="10"/>
      <c r="I412" s="10"/>
      <c r="J412" s="10"/>
    </row>
    <row r="413" ht="14.25" customHeight="1">
      <c r="A413" s="41"/>
      <c r="B413" s="16"/>
      <c r="C413" s="10"/>
      <c r="D413" s="10"/>
      <c r="E413" s="10"/>
      <c r="F413" s="10"/>
      <c r="G413" s="10"/>
      <c r="H413" s="10"/>
      <c r="I413" s="10"/>
      <c r="J413" s="10"/>
    </row>
    <row r="414" ht="14.25" customHeight="1">
      <c r="A414" s="41"/>
      <c r="B414" s="16"/>
      <c r="C414" s="10"/>
      <c r="D414" s="10"/>
      <c r="E414" s="10"/>
      <c r="F414" s="10"/>
      <c r="G414" s="10"/>
      <c r="H414" s="10"/>
      <c r="I414" s="10"/>
      <c r="J414" s="10"/>
    </row>
    <row r="415" ht="14.25" customHeight="1">
      <c r="A415" s="41"/>
      <c r="B415" s="16"/>
      <c r="C415" s="10"/>
      <c r="D415" s="10"/>
      <c r="E415" s="10"/>
      <c r="F415" s="10"/>
      <c r="G415" s="10"/>
      <c r="H415" s="10"/>
      <c r="I415" s="10"/>
      <c r="J415" s="10"/>
    </row>
    <row r="416" ht="14.25" customHeight="1">
      <c r="A416" s="41"/>
      <c r="B416" s="16"/>
      <c r="C416" s="10"/>
      <c r="D416" s="10"/>
      <c r="E416" s="10"/>
      <c r="F416" s="10"/>
      <c r="G416" s="10"/>
      <c r="H416" s="10"/>
      <c r="I416" s="10"/>
      <c r="J416" s="10"/>
    </row>
    <row r="417" ht="14.25" customHeight="1">
      <c r="A417" s="41"/>
      <c r="B417" s="16"/>
      <c r="C417" s="10"/>
      <c r="D417" s="10"/>
      <c r="E417" s="10"/>
      <c r="F417" s="10"/>
      <c r="G417" s="10"/>
      <c r="H417" s="10"/>
      <c r="I417" s="10"/>
      <c r="J417" s="10"/>
    </row>
    <row r="418" ht="14.25" customHeight="1">
      <c r="A418" s="41"/>
      <c r="B418" s="16"/>
      <c r="C418" s="10"/>
      <c r="D418" s="10"/>
      <c r="E418" s="10"/>
      <c r="F418" s="10"/>
      <c r="G418" s="10"/>
      <c r="H418" s="10"/>
      <c r="I418" s="10"/>
      <c r="J418" s="10"/>
    </row>
    <row r="419" ht="14.25" customHeight="1">
      <c r="A419" s="41"/>
      <c r="B419" s="16"/>
      <c r="C419" s="10"/>
      <c r="D419" s="10"/>
      <c r="E419" s="10"/>
      <c r="F419" s="10"/>
      <c r="G419" s="10"/>
      <c r="H419" s="10"/>
      <c r="I419" s="10"/>
      <c r="J419" s="10"/>
    </row>
    <row r="420" ht="14.25" customHeight="1">
      <c r="A420" s="41"/>
      <c r="B420" s="16"/>
      <c r="C420" s="10"/>
      <c r="D420" s="10"/>
      <c r="E420" s="10"/>
      <c r="F420" s="10"/>
      <c r="G420" s="10"/>
      <c r="H420" s="10"/>
      <c r="I420" s="10"/>
      <c r="J420" s="10"/>
    </row>
    <row r="421" ht="14.25" customHeight="1">
      <c r="A421" s="41"/>
      <c r="B421" s="16"/>
      <c r="C421" s="10"/>
      <c r="D421" s="10"/>
      <c r="E421" s="10"/>
      <c r="F421" s="10"/>
      <c r="G421" s="10"/>
      <c r="H421" s="10"/>
      <c r="I421" s="10"/>
      <c r="J421" s="10"/>
    </row>
    <row r="422" ht="14.25" customHeight="1">
      <c r="A422" s="41"/>
      <c r="B422" s="16"/>
      <c r="C422" s="10"/>
      <c r="D422" s="10"/>
      <c r="E422" s="10"/>
      <c r="F422" s="10"/>
      <c r="G422" s="10"/>
      <c r="H422" s="10"/>
      <c r="I422" s="10"/>
      <c r="J422" s="10"/>
    </row>
    <row r="423" ht="14.25" customHeight="1">
      <c r="A423" s="41"/>
      <c r="B423" s="16"/>
      <c r="C423" s="10"/>
      <c r="D423" s="10"/>
      <c r="E423" s="10"/>
      <c r="F423" s="10"/>
      <c r="G423" s="10"/>
      <c r="H423" s="10"/>
      <c r="I423" s="10"/>
      <c r="J423" s="10"/>
    </row>
    <row r="424" ht="14.25" customHeight="1">
      <c r="A424" s="41"/>
      <c r="B424" s="16"/>
      <c r="C424" s="10"/>
      <c r="D424" s="10"/>
      <c r="E424" s="10"/>
      <c r="F424" s="10"/>
      <c r="G424" s="10"/>
      <c r="H424" s="10"/>
      <c r="I424" s="10"/>
      <c r="J424" s="10"/>
    </row>
    <row r="425" ht="14.25" customHeight="1">
      <c r="A425" s="41"/>
      <c r="B425" s="16"/>
      <c r="C425" s="10"/>
      <c r="D425" s="10"/>
      <c r="E425" s="10"/>
      <c r="F425" s="10"/>
      <c r="G425" s="10"/>
      <c r="H425" s="10"/>
      <c r="I425" s="10"/>
      <c r="J425" s="10"/>
    </row>
    <row r="426" ht="14.25" customHeight="1">
      <c r="A426" s="41"/>
      <c r="B426" s="16"/>
      <c r="C426" s="10"/>
      <c r="D426" s="10"/>
      <c r="E426" s="10"/>
      <c r="F426" s="10"/>
      <c r="G426" s="10"/>
      <c r="H426" s="10"/>
      <c r="I426" s="10"/>
      <c r="J426" s="10"/>
    </row>
    <row r="427" ht="14.25" customHeight="1">
      <c r="A427" s="41"/>
      <c r="B427" s="16"/>
      <c r="C427" s="10"/>
      <c r="D427" s="10"/>
      <c r="E427" s="10"/>
      <c r="F427" s="10"/>
      <c r="G427" s="10"/>
      <c r="H427" s="10"/>
      <c r="I427" s="10"/>
      <c r="J427" s="10"/>
    </row>
    <row r="428" ht="14.25" customHeight="1">
      <c r="A428" s="41"/>
      <c r="B428" s="16"/>
      <c r="C428" s="10"/>
      <c r="D428" s="10"/>
      <c r="E428" s="10"/>
      <c r="F428" s="10"/>
      <c r="G428" s="10"/>
      <c r="H428" s="10"/>
      <c r="I428" s="10"/>
      <c r="J428" s="10"/>
    </row>
    <row r="429" ht="14.25" customHeight="1">
      <c r="A429" s="41"/>
      <c r="B429" s="16"/>
      <c r="C429" s="10"/>
      <c r="D429" s="10"/>
      <c r="E429" s="10"/>
      <c r="F429" s="10"/>
      <c r="G429" s="10"/>
      <c r="H429" s="10"/>
      <c r="I429" s="10"/>
      <c r="J429" s="10"/>
    </row>
    <row r="430" ht="14.25" customHeight="1">
      <c r="A430" s="41"/>
      <c r="B430" s="16"/>
      <c r="C430" s="10"/>
      <c r="D430" s="10"/>
      <c r="E430" s="10"/>
      <c r="F430" s="10"/>
      <c r="G430" s="10"/>
      <c r="H430" s="10"/>
      <c r="I430" s="10"/>
      <c r="J430" s="10"/>
    </row>
    <row r="431" ht="14.25" customHeight="1">
      <c r="A431" s="41"/>
      <c r="B431" s="16"/>
      <c r="C431" s="10"/>
      <c r="D431" s="10"/>
      <c r="E431" s="10"/>
      <c r="F431" s="10"/>
      <c r="G431" s="10"/>
      <c r="H431" s="10"/>
      <c r="I431" s="10"/>
      <c r="J431" s="10"/>
    </row>
    <row r="432" ht="14.25" customHeight="1">
      <c r="A432" s="41"/>
      <c r="B432" s="16"/>
      <c r="C432" s="10"/>
      <c r="D432" s="10"/>
      <c r="E432" s="10"/>
      <c r="F432" s="10"/>
      <c r="G432" s="10"/>
      <c r="H432" s="10"/>
      <c r="I432" s="10"/>
      <c r="J432" s="10"/>
    </row>
    <row r="433" ht="14.25" customHeight="1">
      <c r="A433" s="41"/>
      <c r="B433" s="16"/>
      <c r="C433" s="10"/>
      <c r="D433" s="10"/>
      <c r="E433" s="10"/>
      <c r="F433" s="10"/>
      <c r="G433" s="10"/>
      <c r="H433" s="10"/>
      <c r="I433" s="10"/>
      <c r="J433" s="10"/>
    </row>
    <row r="434" ht="14.25" customHeight="1">
      <c r="A434" s="41"/>
      <c r="B434" s="16"/>
      <c r="C434" s="10"/>
      <c r="D434" s="10"/>
      <c r="E434" s="10"/>
      <c r="F434" s="10"/>
      <c r="G434" s="10"/>
      <c r="H434" s="10"/>
      <c r="I434" s="10"/>
      <c r="J434" s="10"/>
    </row>
    <row r="435" ht="14.25" customHeight="1">
      <c r="A435" s="41"/>
      <c r="B435" s="16"/>
      <c r="C435" s="10"/>
      <c r="D435" s="10"/>
      <c r="E435" s="10"/>
      <c r="F435" s="10"/>
      <c r="G435" s="10"/>
      <c r="H435" s="10"/>
      <c r="I435" s="10"/>
      <c r="J435" s="10"/>
    </row>
    <row r="436" ht="14.25" customHeight="1">
      <c r="A436" s="41"/>
      <c r="B436" s="16"/>
      <c r="C436" s="10"/>
      <c r="D436" s="10"/>
      <c r="E436" s="10"/>
      <c r="F436" s="10"/>
      <c r="G436" s="10"/>
      <c r="H436" s="10"/>
      <c r="I436" s="10"/>
      <c r="J436" s="10"/>
    </row>
    <row r="437" ht="14.25" customHeight="1">
      <c r="A437" s="41"/>
      <c r="B437" s="16"/>
      <c r="C437" s="10"/>
      <c r="D437" s="10"/>
      <c r="E437" s="10"/>
      <c r="F437" s="10"/>
      <c r="G437" s="10"/>
      <c r="H437" s="10"/>
      <c r="I437" s="10"/>
      <c r="J437" s="10"/>
    </row>
    <row r="438" ht="14.25" customHeight="1">
      <c r="A438" s="41"/>
      <c r="B438" s="16"/>
      <c r="C438" s="10"/>
      <c r="D438" s="10"/>
      <c r="E438" s="10"/>
      <c r="F438" s="10"/>
      <c r="G438" s="10"/>
      <c r="H438" s="10"/>
      <c r="I438" s="10"/>
      <c r="J438" s="10"/>
    </row>
    <row r="439" ht="14.25" customHeight="1">
      <c r="A439" s="41"/>
      <c r="B439" s="16"/>
      <c r="C439" s="10"/>
      <c r="D439" s="10"/>
      <c r="E439" s="10"/>
      <c r="F439" s="10"/>
      <c r="G439" s="10"/>
      <c r="H439" s="10"/>
      <c r="I439" s="10"/>
      <c r="J439" s="10"/>
    </row>
    <row r="440" ht="14.25" customHeight="1">
      <c r="A440" s="41"/>
      <c r="B440" s="16"/>
      <c r="C440" s="10"/>
      <c r="D440" s="10"/>
      <c r="E440" s="10"/>
      <c r="F440" s="10"/>
      <c r="G440" s="10"/>
      <c r="H440" s="10"/>
      <c r="I440" s="10"/>
      <c r="J440" s="10"/>
    </row>
    <row r="441" ht="14.25" customHeight="1">
      <c r="A441" s="41"/>
      <c r="B441" s="16"/>
      <c r="C441" s="10"/>
      <c r="D441" s="10"/>
      <c r="E441" s="10"/>
      <c r="F441" s="10"/>
      <c r="G441" s="10"/>
      <c r="H441" s="10"/>
      <c r="I441" s="10"/>
      <c r="J441" s="10"/>
    </row>
    <row r="442" ht="14.25" customHeight="1">
      <c r="A442" s="41"/>
      <c r="B442" s="16"/>
      <c r="C442" s="10"/>
      <c r="D442" s="10"/>
      <c r="E442" s="10"/>
      <c r="F442" s="10"/>
      <c r="G442" s="10"/>
      <c r="H442" s="10"/>
      <c r="I442" s="10"/>
      <c r="J442" s="10"/>
    </row>
    <row r="443" ht="14.25" customHeight="1">
      <c r="A443" s="41"/>
      <c r="B443" s="16"/>
      <c r="C443" s="10"/>
      <c r="D443" s="10"/>
      <c r="E443" s="10"/>
      <c r="F443" s="10"/>
      <c r="G443" s="10"/>
      <c r="H443" s="10"/>
      <c r="I443" s="10"/>
      <c r="J443" s="10"/>
    </row>
    <row r="444" ht="14.25" customHeight="1">
      <c r="A444" s="41"/>
      <c r="B444" s="16"/>
      <c r="C444" s="10"/>
      <c r="D444" s="10"/>
      <c r="E444" s="10"/>
      <c r="F444" s="10"/>
      <c r="G444" s="10"/>
      <c r="H444" s="10"/>
      <c r="I444" s="10"/>
      <c r="J444" s="10"/>
    </row>
    <row r="445" ht="14.25" customHeight="1">
      <c r="A445" s="41"/>
      <c r="B445" s="16"/>
      <c r="C445" s="10"/>
      <c r="D445" s="10"/>
      <c r="E445" s="10"/>
      <c r="F445" s="10"/>
      <c r="G445" s="10"/>
      <c r="H445" s="10"/>
      <c r="I445" s="10"/>
      <c r="J445" s="10"/>
    </row>
    <row r="446" ht="14.25" customHeight="1">
      <c r="A446" s="41"/>
      <c r="B446" s="16"/>
      <c r="C446" s="10"/>
      <c r="D446" s="10"/>
      <c r="E446" s="10"/>
      <c r="F446" s="10"/>
      <c r="G446" s="10"/>
      <c r="H446" s="10"/>
      <c r="I446" s="10"/>
      <c r="J446" s="10"/>
    </row>
    <row r="447" ht="14.25" customHeight="1">
      <c r="A447" s="41"/>
      <c r="B447" s="16"/>
      <c r="C447" s="10"/>
      <c r="D447" s="10"/>
      <c r="E447" s="10"/>
      <c r="F447" s="10"/>
      <c r="G447" s="10"/>
      <c r="H447" s="10"/>
      <c r="I447" s="10"/>
      <c r="J447" s="10"/>
    </row>
    <row r="448" ht="14.25" customHeight="1">
      <c r="A448" s="41"/>
      <c r="B448" s="16"/>
      <c r="C448" s="10"/>
      <c r="D448" s="10"/>
      <c r="E448" s="10"/>
      <c r="F448" s="10"/>
      <c r="G448" s="10"/>
      <c r="H448" s="10"/>
      <c r="I448" s="10"/>
      <c r="J448" s="10"/>
    </row>
    <row r="449" ht="14.25" customHeight="1">
      <c r="A449" s="41"/>
      <c r="B449" s="16"/>
      <c r="C449" s="10"/>
      <c r="D449" s="10"/>
      <c r="E449" s="10"/>
      <c r="F449" s="10"/>
      <c r="G449" s="10"/>
      <c r="H449" s="10"/>
      <c r="I449" s="10"/>
      <c r="J449" s="10"/>
    </row>
    <row r="450" ht="14.25" customHeight="1">
      <c r="A450" s="41"/>
      <c r="B450" s="16"/>
      <c r="C450" s="10"/>
      <c r="D450" s="10"/>
      <c r="E450" s="10"/>
      <c r="F450" s="10"/>
      <c r="G450" s="10"/>
      <c r="H450" s="10"/>
      <c r="I450" s="10"/>
      <c r="J450" s="10"/>
    </row>
    <row r="451" ht="14.25" customHeight="1">
      <c r="A451" s="41"/>
      <c r="B451" s="16"/>
      <c r="C451" s="10"/>
      <c r="D451" s="10"/>
      <c r="E451" s="10"/>
      <c r="F451" s="10"/>
      <c r="G451" s="10"/>
      <c r="H451" s="10"/>
      <c r="I451" s="10"/>
      <c r="J451" s="10"/>
    </row>
    <row r="452" ht="14.25" customHeight="1">
      <c r="A452" s="41"/>
      <c r="B452" s="16"/>
      <c r="C452" s="10"/>
      <c r="D452" s="10"/>
      <c r="E452" s="10"/>
      <c r="F452" s="10"/>
      <c r="G452" s="10"/>
      <c r="H452" s="10"/>
      <c r="I452" s="10"/>
      <c r="J452" s="10"/>
    </row>
    <row r="453" ht="14.25" customHeight="1">
      <c r="A453" s="41"/>
      <c r="B453" s="16"/>
      <c r="C453" s="10"/>
      <c r="D453" s="10"/>
      <c r="E453" s="10"/>
      <c r="F453" s="10"/>
      <c r="G453" s="10"/>
      <c r="H453" s="10"/>
      <c r="I453" s="10"/>
      <c r="J453" s="10"/>
    </row>
    <row r="454" ht="14.25" customHeight="1">
      <c r="A454" s="41"/>
      <c r="B454" s="16"/>
      <c r="C454" s="10"/>
      <c r="D454" s="10"/>
      <c r="E454" s="10"/>
      <c r="F454" s="10"/>
      <c r="G454" s="10"/>
      <c r="H454" s="10"/>
      <c r="I454" s="10"/>
      <c r="J454" s="10"/>
    </row>
    <row r="455" ht="14.25" customHeight="1">
      <c r="A455" s="41"/>
      <c r="B455" s="16"/>
      <c r="C455" s="10"/>
      <c r="D455" s="10"/>
      <c r="E455" s="10"/>
      <c r="F455" s="10"/>
      <c r="G455" s="10"/>
      <c r="H455" s="10"/>
      <c r="I455" s="10"/>
      <c r="J455" s="10"/>
    </row>
    <row r="456" ht="14.25" customHeight="1">
      <c r="A456" s="41"/>
      <c r="B456" s="16"/>
      <c r="C456" s="10"/>
      <c r="D456" s="10"/>
      <c r="E456" s="10"/>
      <c r="F456" s="10"/>
      <c r="G456" s="10"/>
      <c r="H456" s="10"/>
      <c r="I456" s="10"/>
      <c r="J456" s="10"/>
    </row>
    <row r="457" ht="14.25" customHeight="1">
      <c r="A457" s="41"/>
      <c r="B457" s="16"/>
      <c r="C457" s="10"/>
      <c r="D457" s="10"/>
      <c r="E457" s="10"/>
      <c r="F457" s="10"/>
      <c r="G457" s="10"/>
      <c r="H457" s="10"/>
      <c r="I457" s="10"/>
      <c r="J457" s="10"/>
    </row>
    <row r="458" ht="14.25" customHeight="1">
      <c r="A458" s="41"/>
      <c r="B458" s="16"/>
      <c r="C458" s="10"/>
      <c r="D458" s="10"/>
      <c r="E458" s="10"/>
      <c r="F458" s="10"/>
      <c r="G458" s="10"/>
      <c r="H458" s="10"/>
      <c r="I458" s="10"/>
      <c r="J458" s="10"/>
    </row>
    <row r="459" ht="14.25" customHeight="1">
      <c r="A459" s="41"/>
      <c r="B459" s="16"/>
      <c r="C459" s="10"/>
      <c r="D459" s="10"/>
      <c r="E459" s="10"/>
      <c r="F459" s="10"/>
      <c r="G459" s="10"/>
      <c r="H459" s="10"/>
      <c r="I459" s="10"/>
      <c r="J459" s="10"/>
    </row>
    <row r="460" ht="14.25" customHeight="1">
      <c r="A460" s="41"/>
      <c r="B460" s="16"/>
      <c r="C460" s="10"/>
      <c r="D460" s="10"/>
      <c r="E460" s="10"/>
      <c r="F460" s="10"/>
      <c r="G460" s="10"/>
      <c r="H460" s="10"/>
      <c r="I460" s="10"/>
      <c r="J460" s="10"/>
    </row>
    <row r="461" ht="14.25" customHeight="1">
      <c r="A461" s="41"/>
      <c r="B461" s="16"/>
      <c r="C461" s="10"/>
      <c r="D461" s="10"/>
      <c r="E461" s="10"/>
      <c r="F461" s="10"/>
      <c r="G461" s="10"/>
      <c r="H461" s="10"/>
      <c r="I461" s="10"/>
      <c r="J461" s="10"/>
    </row>
    <row r="462" ht="14.25" customHeight="1">
      <c r="A462" s="41"/>
      <c r="B462" s="16"/>
      <c r="C462" s="10"/>
      <c r="D462" s="10"/>
      <c r="E462" s="10"/>
      <c r="F462" s="10"/>
      <c r="G462" s="10"/>
      <c r="H462" s="10"/>
      <c r="I462" s="10"/>
      <c r="J462" s="10"/>
    </row>
    <row r="463" ht="14.25" customHeight="1">
      <c r="A463" s="41"/>
      <c r="B463" s="16"/>
      <c r="C463" s="10"/>
      <c r="D463" s="10"/>
      <c r="E463" s="10"/>
      <c r="F463" s="10"/>
      <c r="G463" s="10"/>
      <c r="H463" s="10"/>
      <c r="I463" s="10"/>
      <c r="J463" s="10"/>
    </row>
    <row r="464" ht="14.25" customHeight="1">
      <c r="A464" s="41"/>
      <c r="B464" s="16"/>
      <c r="C464" s="10"/>
      <c r="D464" s="10"/>
      <c r="E464" s="10"/>
      <c r="F464" s="10"/>
      <c r="G464" s="10"/>
      <c r="H464" s="10"/>
      <c r="I464" s="10"/>
      <c r="J464" s="10"/>
    </row>
    <row r="465" ht="14.25" customHeight="1">
      <c r="A465" s="41"/>
      <c r="B465" s="16"/>
      <c r="C465" s="10"/>
      <c r="D465" s="10"/>
      <c r="E465" s="10"/>
      <c r="F465" s="10"/>
      <c r="G465" s="10"/>
      <c r="H465" s="10"/>
      <c r="I465" s="10"/>
      <c r="J465" s="10"/>
    </row>
    <row r="466" ht="14.25" customHeight="1">
      <c r="A466" s="41"/>
      <c r="B466" s="16"/>
      <c r="C466" s="10"/>
      <c r="D466" s="10"/>
      <c r="E466" s="10"/>
      <c r="F466" s="10"/>
      <c r="G466" s="10"/>
      <c r="H466" s="10"/>
      <c r="I466" s="10"/>
      <c r="J466" s="10"/>
    </row>
    <row r="467" ht="14.25" customHeight="1">
      <c r="A467" s="41"/>
      <c r="B467" s="16"/>
      <c r="C467" s="10"/>
      <c r="D467" s="10"/>
      <c r="E467" s="10"/>
      <c r="F467" s="10"/>
      <c r="G467" s="10"/>
      <c r="H467" s="10"/>
      <c r="I467" s="10"/>
      <c r="J467" s="10"/>
    </row>
    <row r="468" ht="14.25" customHeight="1">
      <c r="A468" s="41"/>
      <c r="B468" s="16"/>
      <c r="C468" s="10"/>
      <c r="D468" s="10"/>
      <c r="E468" s="10"/>
      <c r="F468" s="10"/>
      <c r="G468" s="10"/>
      <c r="H468" s="10"/>
      <c r="I468" s="10"/>
      <c r="J468" s="10"/>
    </row>
    <row r="469" ht="14.25" customHeight="1">
      <c r="A469" s="41"/>
      <c r="B469" s="16"/>
      <c r="C469" s="10"/>
      <c r="D469" s="10"/>
      <c r="E469" s="10"/>
      <c r="F469" s="10"/>
      <c r="G469" s="10"/>
      <c r="H469" s="10"/>
      <c r="I469" s="10"/>
      <c r="J469" s="10"/>
    </row>
    <row r="470" ht="14.25" customHeight="1">
      <c r="A470" s="41"/>
      <c r="B470" s="16"/>
      <c r="C470" s="10"/>
      <c r="D470" s="10"/>
      <c r="E470" s="10"/>
      <c r="F470" s="10"/>
      <c r="G470" s="10"/>
      <c r="H470" s="10"/>
      <c r="I470" s="10"/>
      <c r="J470" s="10"/>
    </row>
    <row r="471" ht="14.25" customHeight="1">
      <c r="A471" s="41"/>
      <c r="B471" s="16"/>
      <c r="C471" s="10"/>
      <c r="D471" s="10"/>
      <c r="E471" s="10"/>
      <c r="F471" s="10"/>
      <c r="G471" s="10"/>
      <c r="H471" s="10"/>
      <c r="I471" s="10"/>
      <c r="J471" s="10"/>
    </row>
    <row r="472" ht="14.25" customHeight="1">
      <c r="A472" s="41"/>
      <c r="B472" s="16"/>
      <c r="C472" s="10"/>
      <c r="D472" s="10"/>
      <c r="E472" s="10"/>
      <c r="F472" s="10"/>
      <c r="G472" s="10"/>
      <c r="H472" s="10"/>
      <c r="I472" s="10"/>
      <c r="J472" s="10"/>
    </row>
    <row r="473" ht="14.25" customHeight="1">
      <c r="A473" s="41"/>
      <c r="B473" s="16"/>
      <c r="C473" s="10"/>
      <c r="D473" s="10"/>
      <c r="E473" s="10"/>
      <c r="F473" s="10"/>
      <c r="G473" s="10"/>
      <c r="H473" s="10"/>
      <c r="I473" s="10"/>
      <c r="J473" s="10"/>
    </row>
    <row r="474" ht="14.25" customHeight="1">
      <c r="A474" s="41"/>
      <c r="B474" s="16"/>
      <c r="C474" s="10"/>
      <c r="D474" s="10"/>
      <c r="E474" s="10"/>
      <c r="F474" s="10"/>
      <c r="G474" s="10"/>
      <c r="H474" s="10"/>
      <c r="I474" s="10"/>
      <c r="J474" s="10"/>
    </row>
    <row r="475" ht="14.25" customHeight="1">
      <c r="A475" s="41"/>
      <c r="B475" s="16"/>
      <c r="C475" s="10"/>
      <c r="D475" s="10"/>
      <c r="E475" s="10"/>
      <c r="F475" s="10"/>
      <c r="G475" s="10"/>
      <c r="H475" s="10"/>
      <c r="I475" s="10"/>
      <c r="J475" s="10"/>
    </row>
    <row r="476" ht="14.25" customHeight="1">
      <c r="A476" s="41"/>
      <c r="B476" s="16"/>
      <c r="C476" s="10"/>
      <c r="D476" s="10"/>
      <c r="E476" s="10"/>
      <c r="F476" s="10"/>
      <c r="G476" s="10"/>
      <c r="H476" s="10"/>
      <c r="I476" s="10"/>
      <c r="J476" s="10"/>
    </row>
    <row r="477" ht="14.25" customHeight="1">
      <c r="A477" s="41"/>
      <c r="B477" s="16"/>
      <c r="C477" s="10"/>
      <c r="D477" s="10"/>
      <c r="E477" s="10"/>
      <c r="F477" s="10"/>
      <c r="G477" s="10"/>
      <c r="H477" s="10"/>
      <c r="I477" s="10"/>
      <c r="J477" s="10"/>
    </row>
    <row r="478" ht="14.25" customHeight="1">
      <c r="A478" s="41"/>
      <c r="B478" s="16"/>
      <c r="C478" s="10"/>
      <c r="D478" s="10"/>
      <c r="E478" s="10"/>
      <c r="F478" s="10"/>
      <c r="G478" s="10"/>
      <c r="H478" s="10"/>
      <c r="I478" s="10"/>
      <c r="J478" s="10"/>
    </row>
    <row r="479" ht="14.25" customHeight="1">
      <c r="A479" s="41"/>
      <c r="B479" s="16"/>
      <c r="C479" s="10"/>
      <c r="D479" s="10"/>
      <c r="E479" s="10"/>
      <c r="F479" s="10"/>
      <c r="G479" s="10"/>
      <c r="H479" s="10"/>
      <c r="I479" s="10"/>
      <c r="J479" s="10"/>
    </row>
    <row r="480" ht="14.25" customHeight="1">
      <c r="A480" s="41"/>
      <c r="B480" s="16"/>
      <c r="C480" s="10"/>
      <c r="D480" s="10"/>
      <c r="E480" s="10"/>
      <c r="F480" s="10"/>
      <c r="G480" s="10"/>
      <c r="H480" s="10"/>
      <c r="I480" s="10"/>
      <c r="J480" s="10"/>
    </row>
    <row r="481" ht="14.25" customHeight="1">
      <c r="A481" s="41"/>
      <c r="B481" s="16"/>
      <c r="C481" s="10"/>
      <c r="D481" s="10"/>
      <c r="E481" s="10"/>
      <c r="F481" s="10"/>
      <c r="G481" s="10"/>
      <c r="H481" s="10"/>
      <c r="I481" s="10"/>
      <c r="J481" s="10"/>
    </row>
    <row r="482" ht="14.25" customHeight="1">
      <c r="A482" s="41"/>
      <c r="B482" s="16"/>
      <c r="C482" s="10"/>
      <c r="D482" s="10"/>
      <c r="E482" s="10"/>
      <c r="F482" s="10"/>
      <c r="G482" s="10"/>
      <c r="H482" s="10"/>
      <c r="I482" s="10"/>
      <c r="J482" s="10"/>
    </row>
    <row r="483" ht="14.25" customHeight="1">
      <c r="A483" s="41"/>
      <c r="B483" s="16"/>
      <c r="C483" s="10"/>
      <c r="D483" s="10"/>
      <c r="E483" s="10"/>
      <c r="F483" s="10"/>
      <c r="G483" s="10"/>
      <c r="H483" s="10"/>
      <c r="I483" s="10"/>
      <c r="J483" s="10"/>
    </row>
    <row r="484" ht="14.25" customHeight="1">
      <c r="A484" s="41"/>
      <c r="B484" s="16"/>
      <c r="C484" s="10"/>
      <c r="D484" s="10"/>
      <c r="E484" s="10"/>
      <c r="F484" s="10"/>
      <c r="G484" s="10"/>
      <c r="H484" s="10"/>
      <c r="I484" s="10"/>
      <c r="J484" s="10"/>
    </row>
    <row r="485" ht="14.25" customHeight="1">
      <c r="A485" s="41"/>
      <c r="B485" s="16"/>
      <c r="C485" s="10"/>
      <c r="D485" s="10"/>
      <c r="E485" s="10"/>
      <c r="F485" s="10"/>
      <c r="G485" s="10"/>
      <c r="H485" s="10"/>
      <c r="I485" s="10"/>
      <c r="J485" s="10"/>
    </row>
    <row r="486" ht="14.25" customHeight="1">
      <c r="A486" s="41"/>
      <c r="B486" s="16"/>
      <c r="C486" s="10"/>
      <c r="D486" s="10"/>
      <c r="E486" s="10"/>
      <c r="F486" s="10"/>
      <c r="G486" s="10"/>
      <c r="H486" s="10"/>
      <c r="I486" s="10"/>
      <c r="J486" s="10"/>
    </row>
    <row r="487" ht="14.25" customHeight="1">
      <c r="A487" s="41"/>
      <c r="B487" s="16"/>
      <c r="C487" s="10"/>
      <c r="D487" s="10"/>
      <c r="E487" s="10"/>
      <c r="F487" s="10"/>
      <c r="G487" s="10"/>
      <c r="H487" s="10"/>
      <c r="I487" s="10"/>
      <c r="J487" s="10"/>
    </row>
    <row r="488" ht="14.25" customHeight="1">
      <c r="A488" s="41"/>
      <c r="B488" s="16"/>
      <c r="C488" s="10"/>
      <c r="D488" s="10"/>
      <c r="E488" s="10"/>
      <c r="F488" s="10"/>
      <c r="G488" s="10"/>
      <c r="H488" s="10"/>
      <c r="I488" s="10"/>
      <c r="J488" s="10"/>
    </row>
    <row r="489" ht="14.25" customHeight="1">
      <c r="A489" s="41"/>
      <c r="B489" s="16"/>
      <c r="C489" s="10"/>
      <c r="D489" s="10"/>
      <c r="E489" s="10"/>
      <c r="F489" s="10"/>
      <c r="G489" s="10"/>
      <c r="H489" s="10"/>
      <c r="I489" s="10"/>
      <c r="J489" s="10"/>
    </row>
    <row r="490" ht="14.25" customHeight="1">
      <c r="A490" s="41"/>
      <c r="B490" s="16"/>
      <c r="C490" s="10"/>
      <c r="D490" s="10"/>
      <c r="E490" s="10"/>
      <c r="F490" s="10"/>
      <c r="G490" s="10"/>
      <c r="H490" s="10"/>
      <c r="I490" s="10"/>
      <c r="J490" s="10"/>
    </row>
    <row r="491" ht="14.25" customHeight="1">
      <c r="A491" s="41"/>
      <c r="B491" s="16"/>
      <c r="C491" s="10"/>
      <c r="D491" s="10"/>
      <c r="E491" s="10"/>
      <c r="F491" s="10"/>
      <c r="G491" s="10"/>
      <c r="H491" s="10"/>
      <c r="I491" s="10"/>
      <c r="J491" s="10"/>
    </row>
    <row r="492" ht="14.25" customHeight="1">
      <c r="A492" s="41"/>
      <c r="B492" s="16"/>
      <c r="C492" s="10"/>
      <c r="D492" s="10"/>
      <c r="E492" s="10"/>
      <c r="F492" s="10"/>
      <c r="G492" s="10"/>
      <c r="H492" s="10"/>
      <c r="I492" s="10"/>
      <c r="J492" s="10"/>
    </row>
    <row r="493" ht="14.25" customHeight="1">
      <c r="A493" s="41"/>
      <c r="B493" s="16"/>
      <c r="C493" s="10"/>
      <c r="D493" s="10"/>
      <c r="E493" s="10"/>
      <c r="F493" s="10"/>
      <c r="G493" s="10"/>
      <c r="H493" s="10"/>
      <c r="I493" s="10"/>
      <c r="J493" s="10"/>
    </row>
    <row r="494" ht="14.25" customHeight="1">
      <c r="A494" s="41"/>
      <c r="B494" s="16"/>
      <c r="C494" s="10"/>
      <c r="D494" s="10"/>
      <c r="E494" s="10"/>
      <c r="F494" s="10"/>
      <c r="G494" s="10"/>
      <c r="H494" s="10"/>
      <c r="I494" s="10"/>
      <c r="J494" s="10"/>
    </row>
    <row r="495" ht="14.25" customHeight="1">
      <c r="A495" s="41"/>
      <c r="B495" s="16"/>
      <c r="C495" s="10"/>
      <c r="D495" s="10"/>
      <c r="E495" s="10"/>
      <c r="F495" s="10"/>
      <c r="G495" s="10"/>
      <c r="H495" s="10"/>
      <c r="I495" s="10"/>
      <c r="J495" s="10"/>
    </row>
    <row r="496" ht="14.25" customHeight="1">
      <c r="A496" s="41"/>
      <c r="B496" s="16"/>
      <c r="C496" s="10"/>
      <c r="D496" s="10"/>
      <c r="E496" s="10"/>
      <c r="F496" s="10"/>
      <c r="G496" s="10"/>
      <c r="H496" s="10"/>
      <c r="I496" s="10"/>
      <c r="J496" s="10"/>
    </row>
    <row r="497" ht="14.25" customHeight="1">
      <c r="A497" s="41"/>
      <c r="B497" s="16"/>
      <c r="C497" s="10"/>
      <c r="D497" s="10"/>
      <c r="E497" s="10"/>
      <c r="F497" s="10"/>
      <c r="G497" s="10"/>
      <c r="H497" s="10"/>
      <c r="I497" s="10"/>
      <c r="J497" s="10"/>
    </row>
    <row r="498" ht="14.25" customHeight="1">
      <c r="A498" s="41"/>
      <c r="B498" s="16"/>
      <c r="C498" s="10"/>
      <c r="D498" s="10"/>
      <c r="E498" s="10"/>
      <c r="F498" s="10"/>
      <c r="G498" s="10"/>
      <c r="H498" s="10"/>
      <c r="I498" s="10"/>
      <c r="J498" s="10"/>
    </row>
    <row r="499" ht="14.25" customHeight="1">
      <c r="A499" s="41"/>
      <c r="B499" s="16"/>
      <c r="C499" s="10"/>
      <c r="D499" s="10"/>
      <c r="E499" s="10"/>
      <c r="F499" s="10"/>
      <c r="G499" s="10"/>
      <c r="H499" s="10"/>
      <c r="I499" s="10"/>
      <c r="J499" s="10"/>
    </row>
    <row r="500" ht="14.25" customHeight="1">
      <c r="A500" s="41"/>
      <c r="B500" s="16"/>
      <c r="C500" s="10"/>
      <c r="D500" s="10"/>
      <c r="E500" s="10"/>
      <c r="F500" s="10"/>
      <c r="G500" s="10"/>
      <c r="H500" s="10"/>
      <c r="I500" s="10"/>
      <c r="J500" s="10"/>
    </row>
    <row r="501" ht="14.25" customHeight="1">
      <c r="A501" s="41"/>
      <c r="B501" s="16"/>
      <c r="C501" s="10"/>
      <c r="D501" s="10"/>
      <c r="E501" s="10"/>
      <c r="F501" s="10"/>
      <c r="G501" s="10"/>
      <c r="H501" s="10"/>
      <c r="I501" s="10"/>
      <c r="J501" s="10"/>
    </row>
    <row r="502" ht="14.25" customHeight="1">
      <c r="A502" s="41"/>
      <c r="B502" s="16"/>
      <c r="C502" s="10"/>
      <c r="D502" s="10"/>
      <c r="E502" s="10"/>
      <c r="F502" s="10"/>
      <c r="G502" s="10"/>
      <c r="H502" s="10"/>
      <c r="I502" s="10"/>
      <c r="J502" s="10"/>
    </row>
    <row r="503" ht="14.25" customHeight="1">
      <c r="A503" s="41"/>
      <c r="B503" s="16"/>
      <c r="C503" s="10"/>
      <c r="D503" s="10"/>
      <c r="E503" s="10"/>
      <c r="F503" s="10"/>
      <c r="G503" s="10"/>
      <c r="H503" s="10"/>
      <c r="I503" s="10"/>
      <c r="J503" s="10"/>
    </row>
    <row r="504" ht="14.25" customHeight="1">
      <c r="A504" s="41"/>
      <c r="B504" s="16"/>
      <c r="C504" s="10"/>
      <c r="D504" s="10"/>
      <c r="E504" s="10"/>
      <c r="F504" s="10"/>
      <c r="G504" s="10"/>
      <c r="H504" s="10"/>
      <c r="I504" s="10"/>
      <c r="J504" s="10"/>
    </row>
    <row r="505" ht="14.25" customHeight="1">
      <c r="A505" s="41"/>
      <c r="B505" s="16"/>
      <c r="C505" s="10"/>
      <c r="D505" s="10"/>
      <c r="E505" s="10"/>
      <c r="F505" s="10"/>
      <c r="G505" s="10"/>
      <c r="H505" s="10"/>
      <c r="I505" s="10"/>
      <c r="J505" s="10"/>
    </row>
    <row r="506" ht="14.25" customHeight="1">
      <c r="A506" s="41"/>
      <c r="B506" s="16"/>
      <c r="C506" s="10"/>
      <c r="D506" s="10"/>
      <c r="E506" s="10"/>
      <c r="F506" s="10"/>
      <c r="G506" s="10"/>
      <c r="H506" s="10"/>
      <c r="I506" s="10"/>
      <c r="J506" s="10"/>
    </row>
    <row r="507" ht="14.25" customHeight="1">
      <c r="A507" s="41"/>
      <c r="B507" s="16"/>
      <c r="C507" s="10"/>
      <c r="D507" s="10"/>
      <c r="E507" s="10"/>
      <c r="F507" s="10"/>
      <c r="G507" s="10"/>
      <c r="H507" s="10"/>
      <c r="I507" s="10"/>
      <c r="J507" s="10"/>
    </row>
    <row r="508" ht="14.25" customHeight="1">
      <c r="A508" s="41"/>
      <c r="B508" s="16"/>
      <c r="C508" s="10"/>
      <c r="D508" s="10"/>
      <c r="E508" s="10"/>
      <c r="F508" s="10"/>
      <c r="G508" s="10"/>
      <c r="H508" s="10"/>
      <c r="I508" s="10"/>
      <c r="J508" s="10"/>
    </row>
    <row r="509" ht="14.25" customHeight="1">
      <c r="A509" s="41"/>
      <c r="B509" s="16"/>
      <c r="C509" s="10"/>
      <c r="D509" s="10"/>
      <c r="E509" s="10"/>
      <c r="F509" s="10"/>
      <c r="G509" s="10"/>
      <c r="H509" s="10"/>
      <c r="I509" s="10"/>
      <c r="J509" s="10"/>
    </row>
    <row r="510" ht="14.25" customHeight="1">
      <c r="A510" s="41"/>
      <c r="B510" s="16"/>
      <c r="C510" s="10"/>
      <c r="D510" s="10"/>
      <c r="E510" s="10"/>
      <c r="F510" s="10"/>
      <c r="G510" s="10"/>
      <c r="H510" s="10"/>
      <c r="I510" s="10"/>
      <c r="J510" s="10"/>
    </row>
    <row r="511" ht="14.25" customHeight="1">
      <c r="A511" s="41"/>
      <c r="B511" s="16"/>
      <c r="C511" s="10"/>
      <c r="D511" s="10"/>
      <c r="E511" s="10"/>
      <c r="F511" s="10"/>
      <c r="G511" s="10"/>
      <c r="H511" s="10"/>
      <c r="I511" s="10"/>
      <c r="J511" s="10"/>
    </row>
    <row r="512" ht="14.25" customHeight="1">
      <c r="A512" s="41"/>
      <c r="B512" s="16"/>
      <c r="C512" s="10"/>
      <c r="D512" s="10"/>
      <c r="E512" s="10"/>
      <c r="F512" s="10"/>
      <c r="G512" s="10"/>
      <c r="H512" s="10"/>
      <c r="I512" s="10"/>
      <c r="J512" s="10"/>
    </row>
    <row r="513" ht="14.25" customHeight="1">
      <c r="A513" s="41"/>
      <c r="B513" s="16"/>
      <c r="C513" s="10"/>
      <c r="D513" s="10"/>
      <c r="E513" s="10"/>
      <c r="F513" s="10"/>
      <c r="G513" s="10"/>
      <c r="H513" s="10"/>
      <c r="I513" s="10"/>
      <c r="J513" s="10"/>
    </row>
    <row r="514" ht="14.25" customHeight="1">
      <c r="A514" s="41"/>
      <c r="B514" s="16"/>
      <c r="C514" s="10"/>
      <c r="D514" s="10"/>
      <c r="E514" s="10"/>
      <c r="F514" s="10"/>
      <c r="G514" s="10"/>
      <c r="H514" s="10"/>
      <c r="I514" s="10"/>
      <c r="J514" s="10"/>
    </row>
    <row r="515" ht="14.25" customHeight="1">
      <c r="A515" s="41"/>
      <c r="B515" s="16"/>
      <c r="C515" s="10"/>
      <c r="D515" s="10"/>
      <c r="E515" s="10"/>
      <c r="F515" s="10"/>
      <c r="G515" s="10"/>
      <c r="H515" s="10"/>
      <c r="I515" s="10"/>
      <c r="J515" s="10"/>
    </row>
    <row r="516" ht="14.25" customHeight="1">
      <c r="A516" s="41"/>
      <c r="B516" s="16"/>
      <c r="C516" s="10"/>
      <c r="D516" s="10"/>
      <c r="E516" s="10"/>
      <c r="F516" s="10"/>
      <c r="G516" s="10"/>
      <c r="H516" s="10"/>
      <c r="I516" s="10"/>
      <c r="J516" s="10"/>
    </row>
    <row r="517" ht="14.25" customHeight="1">
      <c r="A517" s="41"/>
      <c r="B517" s="16"/>
      <c r="C517" s="10"/>
      <c r="D517" s="10"/>
      <c r="E517" s="10"/>
      <c r="F517" s="10"/>
      <c r="G517" s="10"/>
      <c r="H517" s="10"/>
      <c r="I517" s="10"/>
      <c r="J517" s="10"/>
    </row>
    <row r="518" ht="14.25" customHeight="1">
      <c r="A518" s="41"/>
      <c r="B518" s="16"/>
      <c r="C518" s="10"/>
      <c r="D518" s="10"/>
      <c r="E518" s="10"/>
      <c r="F518" s="10"/>
      <c r="G518" s="10"/>
      <c r="H518" s="10"/>
      <c r="I518" s="10"/>
      <c r="J518" s="10"/>
    </row>
    <row r="519" ht="14.25" customHeight="1">
      <c r="A519" s="41"/>
      <c r="B519" s="16"/>
      <c r="C519" s="10"/>
      <c r="D519" s="10"/>
      <c r="E519" s="10"/>
      <c r="F519" s="10"/>
      <c r="G519" s="10"/>
      <c r="H519" s="10"/>
      <c r="I519" s="10"/>
      <c r="J519" s="10"/>
    </row>
    <row r="520" ht="14.25" customHeight="1">
      <c r="A520" s="41"/>
      <c r="B520" s="16"/>
      <c r="C520" s="10"/>
      <c r="D520" s="10"/>
      <c r="E520" s="10"/>
      <c r="F520" s="10"/>
      <c r="G520" s="10"/>
      <c r="H520" s="10"/>
      <c r="I520" s="10"/>
      <c r="J520" s="10"/>
    </row>
    <row r="521" ht="14.25" customHeight="1">
      <c r="A521" s="41"/>
      <c r="B521" s="16"/>
      <c r="C521" s="10"/>
      <c r="D521" s="10"/>
      <c r="E521" s="10"/>
      <c r="F521" s="10"/>
      <c r="G521" s="10"/>
      <c r="H521" s="10"/>
      <c r="I521" s="10"/>
      <c r="J521" s="10"/>
    </row>
    <row r="522" ht="14.25" customHeight="1">
      <c r="A522" s="41"/>
      <c r="B522" s="16"/>
      <c r="C522" s="10"/>
      <c r="D522" s="10"/>
      <c r="E522" s="10"/>
      <c r="F522" s="10"/>
      <c r="G522" s="10"/>
      <c r="H522" s="10"/>
      <c r="I522" s="10"/>
      <c r="J522" s="10"/>
    </row>
    <row r="523" ht="14.25" customHeight="1">
      <c r="A523" s="41"/>
      <c r="B523" s="16"/>
      <c r="C523" s="10"/>
      <c r="D523" s="10"/>
      <c r="E523" s="10"/>
      <c r="F523" s="10"/>
      <c r="G523" s="10"/>
      <c r="H523" s="10"/>
      <c r="I523" s="10"/>
      <c r="J523" s="10"/>
    </row>
    <row r="524" ht="14.25" customHeight="1">
      <c r="A524" s="41"/>
      <c r="B524" s="16"/>
      <c r="C524" s="10"/>
      <c r="D524" s="10"/>
      <c r="E524" s="10"/>
      <c r="F524" s="10"/>
      <c r="G524" s="10"/>
      <c r="H524" s="10"/>
      <c r="I524" s="10"/>
      <c r="J524" s="10"/>
    </row>
    <row r="525" ht="14.25" customHeight="1">
      <c r="A525" s="41"/>
      <c r="B525" s="16"/>
      <c r="C525" s="10"/>
      <c r="D525" s="10"/>
      <c r="E525" s="10"/>
      <c r="F525" s="10"/>
      <c r="G525" s="10"/>
      <c r="H525" s="10"/>
      <c r="I525" s="10"/>
      <c r="J525" s="10"/>
    </row>
    <row r="526" ht="14.25" customHeight="1">
      <c r="A526" s="41"/>
      <c r="B526" s="16"/>
      <c r="C526" s="10"/>
      <c r="D526" s="10"/>
      <c r="E526" s="10"/>
      <c r="F526" s="10"/>
      <c r="G526" s="10"/>
      <c r="H526" s="10"/>
      <c r="I526" s="10"/>
      <c r="J526" s="10"/>
    </row>
    <row r="527" ht="14.25" customHeight="1">
      <c r="A527" s="41"/>
      <c r="B527" s="16"/>
      <c r="C527" s="10"/>
      <c r="D527" s="10"/>
      <c r="E527" s="10"/>
      <c r="F527" s="10"/>
      <c r="G527" s="10"/>
      <c r="H527" s="10"/>
      <c r="I527" s="10"/>
      <c r="J527" s="10"/>
    </row>
    <row r="528" ht="14.25" customHeight="1">
      <c r="A528" s="41"/>
      <c r="B528" s="16"/>
      <c r="C528" s="10"/>
      <c r="D528" s="10"/>
      <c r="E528" s="10"/>
      <c r="F528" s="10"/>
      <c r="G528" s="10"/>
      <c r="H528" s="10"/>
      <c r="I528" s="10"/>
      <c r="J528" s="10"/>
    </row>
    <row r="529" ht="14.25" customHeight="1">
      <c r="A529" s="41"/>
      <c r="B529" s="16"/>
      <c r="C529" s="10"/>
      <c r="D529" s="10"/>
      <c r="E529" s="10"/>
      <c r="F529" s="10"/>
      <c r="G529" s="10"/>
      <c r="H529" s="10"/>
      <c r="I529" s="10"/>
      <c r="J529" s="10"/>
    </row>
    <row r="530" ht="14.25" customHeight="1">
      <c r="A530" s="41"/>
      <c r="B530" s="16"/>
      <c r="C530" s="10"/>
      <c r="D530" s="10"/>
      <c r="E530" s="10"/>
      <c r="F530" s="10"/>
      <c r="G530" s="10"/>
      <c r="H530" s="10"/>
      <c r="I530" s="10"/>
      <c r="J530" s="10"/>
    </row>
    <row r="531" ht="14.25" customHeight="1">
      <c r="A531" s="41"/>
      <c r="B531" s="16"/>
      <c r="C531" s="10"/>
      <c r="D531" s="10"/>
      <c r="E531" s="10"/>
      <c r="F531" s="10"/>
      <c r="G531" s="10"/>
      <c r="H531" s="10"/>
      <c r="I531" s="10"/>
      <c r="J531" s="10"/>
    </row>
    <row r="532" ht="14.25" customHeight="1">
      <c r="A532" s="41"/>
      <c r="B532" s="16"/>
      <c r="C532" s="10"/>
      <c r="D532" s="10"/>
      <c r="E532" s="10"/>
      <c r="F532" s="10"/>
      <c r="G532" s="10"/>
      <c r="H532" s="10"/>
      <c r="I532" s="10"/>
      <c r="J532" s="10"/>
    </row>
    <row r="533" ht="14.25" customHeight="1">
      <c r="A533" s="41"/>
      <c r="B533" s="16"/>
      <c r="C533" s="10"/>
      <c r="D533" s="10"/>
      <c r="E533" s="10"/>
      <c r="F533" s="10"/>
      <c r="G533" s="10"/>
      <c r="H533" s="10"/>
      <c r="I533" s="10"/>
      <c r="J533" s="10"/>
    </row>
    <row r="534" ht="14.25" customHeight="1">
      <c r="A534" s="41"/>
      <c r="B534" s="16"/>
      <c r="C534" s="10"/>
      <c r="D534" s="10"/>
      <c r="E534" s="10"/>
      <c r="F534" s="10"/>
      <c r="G534" s="10"/>
      <c r="H534" s="10"/>
      <c r="I534" s="10"/>
      <c r="J534" s="10"/>
    </row>
    <row r="535" ht="14.25" customHeight="1">
      <c r="A535" s="41"/>
      <c r="B535" s="16"/>
      <c r="C535" s="10"/>
      <c r="D535" s="10"/>
      <c r="E535" s="10"/>
      <c r="F535" s="10"/>
      <c r="G535" s="10"/>
      <c r="H535" s="10"/>
      <c r="I535" s="10"/>
      <c r="J535" s="10"/>
    </row>
    <row r="536" ht="14.25" customHeight="1">
      <c r="A536" s="41"/>
      <c r="B536" s="16"/>
      <c r="C536" s="10"/>
      <c r="D536" s="10"/>
      <c r="E536" s="10"/>
      <c r="F536" s="10"/>
      <c r="G536" s="10"/>
      <c r="H536" s="10"/>
      <c r="I536" s="10"/>
      <c r="J536" s="10"/>
    </row>
    <row r="537" ht="14.25" customHeight="1">
      <c r="A537" s="41"/>
      <c r="B537" s="16"/>
      <c r="C537" s="10"/>
      <c r="D537" s="10"/>
      <c r="E537" s="10"/>
      <c r="F537" s="10"/>
      <c r="G537" s="10"/>
      <c r="H537" s="10"/>
      <c r="I537" s="10"/>
      <c r="J537" s="10"/>
    </row>
    <row r="538" ht="14.25" customHeight="1">
      <c r="A538" s="41"/>
      <c r="B538" s="16"/>
      <c r="C538" s="10"/>
      <c r="D538" s="10"/>
      <c r="E538" s="10"/>
      <c r="F538" s="10"/>
      <c r="G538" s="10"/>
      <c r="H538" s="10"/>
      <c r="I538" s="10"/>
      <c r="J538" s="10"/>
    </row>
    <row r="539" ht="14.25" customHeight="1">
      <c r="A539" s="41"/>
      <c r="B539" s="16"/>
      <c r="C539" s="10"/>
      <c r="D539" s="10"/>
      <c r="E539" s="10"/>
      <c r="F539" s="10"/>
      <c r="G539" s="10"/>
      <c r="H539" s="10"/>
      <c r="I539" s="10"/>
      <c r="J539" s="10"/>
    </row>
    <row r="540" ht="14.25" customHeight="1">
      <c r="A540" s="41"/>
      <c r="B540" s="16"/>
      <c r="C540" s="10"/>
      <c r="D540" s="10"/>
      <c r="E540" s="10"/>
      <c r="F540" s="10"/>
      <c r="G540" s="10"/>
      <c r="H540" s="10"/>
      <c r="I540" s="10"/>
      <c r="J540" s="10"/>
    </row>
    <row r="541" ht="14.25" customHeight="1">
      <c r="A541" s="41"/>
      <c r="B541" s="16"/>
      <c r="C541" s="10"/>
      <c r="D541" s="10"/>
      <c r="E541" s="10"/>
      <c r="F541" s="10"/>
      <c r="G541" s="10"/>
      <c r="H541" s="10"/>
      <c r="I541" s="10"/>
      <c r="J541" s="10"/>
    </row>
    <row r="542" ht="14.25" customHeight="1">
      <c r="A542" s="41"/>
      <c r="B542" s="16"/>
      <c r="C542" s="10"/>
      <c r="D542" s="10"/>
      <c r="E542" s="10"/>
      <c r="F542" s="10"/>
      <c r="G542" s="10"/>
      <c r="H542" s="10"/>
      <c r="I542" s="10"/>
      <c r="J542" s="10"/>
    </row>
    <row r="543" ht="14.25" customHeight="1">
      <c r="A543" s="41"/>
      <c r="B543" s="16"/>
      <c r="C543" s="10"/>
      <c r="D543" s="10"/>
      <c r="E543" s="10"/>
      <c r="F543" s="10"/>
      <c r="G543" s="10"/>
      <c r="H543" s="10"/>
      <c r="I543" s="10"/>
      <c r="J543" s="10"/>
    </row>
    <row r="544" ht="14.25" customHeight="1">
      <c r="A544" s="41"/>
      <c r="B544" s="16"/>
      <c r="C544" s="10"/>
      <c r="D544" s="10"/>
      <c r="E544" s="10"/>
      <c r="F544" s="10"/>
      <c r="G544" s="10"/>
      <c r="H544" s="10"/>
      <c r="I544" s="10"/>
      <c r="J544" s="10"/>
    </row>
    <row r="545" ht="14.25" customHeight="1">
      <c r="A545" s="41"/>
      <c r="B545" s="16"/>
      <c r="C545" s="10"/>
      <c r="D545" s="10"/>
      <c r="E545" s="10"/>
      <c r="F545" s="10"/>
      <c r="G545" s="10"/>
      <c r="H545" s="10"/>
      <c r="I545" s="10"/>
      <c r="J545" s="10"/>
    </row>
    <row r="546" ht="14.25" customHeight="1">
      <c r="A546" s="41"/>
      <c r="B546" s="16"/>
      <c r="C546" s="10"/>
      <c r="D546" s="10"/>
      <c r="E546" s="10"/>
      <c r="F546" s="10"/>
      <c r="G546" s="10"/>
      <c r="H546" s="10"/>
      <c r="I546" s="10"/>
      <c r="J546" s="10"/>
    </row>
    <row r="547" ht="14.25" customHeight="1">
      <c r="A547" s="41"/>
      <c r="B547" s="16"/>
      <c r="C547" s="10"/>
      <c r="D547" s="10"/>
      <c r="E547" s="10"/>
      <c r="F547" s="10"/>
      <c r="G547" s="10"/>
      <c r="H547" s="10"/>
      <c r="I547" s="10"/>
      <c r="J547" s="10"/>
    </row>
    <row r="548" ht="14.25" customHeight="1">
      <c r="A548" s="41"/>
      <c r="B548" s="16"/>
      <c r="C548" s="10"/>
      <c r="D548" s="10"/>
      <c r="E548" s="10"/>
      <c r="F548" s="10"/>
      <c r="G548" s="10"/>
      <c r="H548" s="10"/>
      <c r="I548" s="10"/>
      <c r="J548" s="10"/>
    </row>
    <row r="549" ht="14.25" customHeight="1">
      <c r="A549" s="41"/>
      <c r="B549" s="16"/>
      <c r="C549" s="10"/>
      <c r="D549" s="10"/>
      <c r="E549" s="10"/>
      <c r="F549" s="10"/>
      <c r="G549" s="10"/>
      <c r="H549" s="10"/>
      <c r="I549" s="10"/>
      <c r="J549" s="10"/>
    </row>
    <row r="550" ht="14.25" customHeight="1">
      <c r="A550" s="41"/>
      <c r="B550" s="16"/>
      <c r="C550" s="10"/>
      <c r="D550" s="10"/>
      <c r="E550" s="10"/>
      <c r="F550" s="10"/>
      <c r="G550" s="10"/>
      <c r="H550" s="10"/>
      <c r="I550" s="10"/>
      <c r="J550" s="10"/>
    </row>
    <row r="551" ht="14.25" customHeight="1">
      <c r="A551" s="41"/>
      <c r="B551" s="16"/>
      <c r="C551" s="10"/>
      <c r="D551" s="10"/>
      <c r="E551" s="10"/>
      <c r="F551" s="10"/>
      <c r="G551" s="10"/>
      <c r="H551" s="10"/>
      <c r="I551" s="10"/>
      <c r="J551" s="10"/>
    </row>
    <row r="552" ht="14.25" customHeight="1">
      <c r="A552" s="41"/>
      <c r="B552" s="16"/>
      <c r="C552" s="10"/>
      <c r="D552" s="10"/>
      <c r="E552" s="10"/>
      <c r="F552" s="10"/>
      <c r="G552" s="10"/>
      <c r="H552" s="10"/>
      <c r="I552" s="10"/>
      <c r="J552" s="10"/>
    </row>
    <row r="553" ht="14.25" customHeight="1">
      <c r="A553" s="41"/>
      <c r="B553" s="16"/>
      <c r="C553" s="10"/>
      <c r="D553" s="10"/>
      <c r="E553" s="10"/>
      <c r="F553" s="10"/>
      <c r="G553" s="10"/>
      <c r="H553" s="10"/>
      <c r="I553" s="10"/>
      <c r="J553" s="10"/>
    </row>
    <row r="554" ht="14.25" customHeight="1">
      <c r="A554" s="41"/>
      <c r="B554" s="16"/>
      <c r="C554" s="10"/>
      <c r="D554" s="10"/>
      <c r="E554" s="10"/>
      <c r="F554" s="10"/>
      <c r="G554" s="10"/>
      <c r="H554" s="10"/>
      <c r="I554" s="10"/>
      <c r="J554" s="10"/>
    </row>
    <row r="555" ht="14.25" customHeight="1">
      <c r="A555" s="41"/>
      <c r="B555" s="16"/>
      <c r="C555" s="10"/>
      <c r="D555" s="10"/>
      <c r="E555" s="10"/>
      <c r="F555" s="10"/>
      <c r="G555" s="10"/>
      <c r="H555" s="10"/>
      <c r="I555" s="10"/>
      <c r="J555" s="10"/>
    </row>
    <row r="556" ht="14.25" customHeight="1">
      <c r="A556" s="41"/>
      <c r="B556" s="16"/>
      <c r="C556" s="10"/>
      <c r="D556" s="10"/>
      <c r="E556" s="10"/>
      <c r="F556" s="10"/>
      <c r="G556" s="10"/>
      <c r="H556" s="10"/>
      <c r="I556" s="10"/>
      <c r="J556" s="10"/>
    </row>
    <row r="557" ht="14.25" customHeight="1">
      <c r="A557" s="41"/>
      <c r="B557" s="16"/>
      <c r="C557" s="10"/>
      <c r="D557" s="10"/>
      <c r="E557" s="10"/>
      <c r="F557" s="10"/>
      <c r="G557" s="10"/>
      <c r="H557" s="10"/>
      <c r="I557" s="10"/>
      <c r="J557" s="10"/>
    </row>
    <row r="558" ht="14.25" customHeight="1">
      <c r="A558" s="41"/>
      <c r="B558" s="16"/>
      <c r="C558" s="10"/>
      <c r="D558" s="10"/>
      <c r="E558" s="10"/>
      <c r="F558" s="10"/>
      <c r="G558" s="10"/>
      <c r="H558" s="10"/>
      <c r="I558" s="10"/>
      <c r="J558" s="10"/>
    </row>
    <row r="559" ht="14.25" customHeight="1">
      <c r="A559" s="41"/>
      <c r="B559" s="16"/>
      <c r="C559" s="10"/>
      <c r="D559" s="10"/>
      <c r="E559" s="10"/>
      <c r="F559" s="10"/>
      <c r="G559" s="10"/>
      <c r="H559" s="10"/>
      <c r="I559" s="10"/>
      <c r="J559" s="10"/>
    </row>
    <row r="560" ht="14.25" customHeight="1">
      <c r="A560" s="41"/>
      <c r="B560" s="16"/>
      <c r="C560" s="10"/>
      <c r="D560" s="10"/>
      <c r="E560" s="10"/>
      <c r="F560" s="10"/>
      <c r="G560" s="10"/>
      <c r="H560" s="10"/>
      <c r="I560" s="10"/>
      <c r="J560" s="10"/>
    </row>
    <row r="561" ht="14.25" customHeight="1">
      <c r="A561" s="41"/>
      <c r="B561" s="16"/>
      <c r="C561" s="10"/>
      <c r="D561" s="10"/>
      <c r="E561" s="10"/>
      <c r="F561" s="10"/>
      <c r="G561" s="10"/>
      <c r="H561" s="10"/>
      <c r="I561" s="10"/>
      <c r="J561" s="10"/>
    </row>
    <row r="562" ht="14.25" customHeight="1">
      <c r="A562" s="41"/>
      <c r="B562" s="16"/>
      <c r="C562" s="10"/>
      <c r="D562" s="10"/>
      <c r="E562" s="10"/>
      <c r="F562" s="10"/>
      <c r="G562" s="10"/>
      <c r="H562" s="10"/>
      <c r="I562" s="10"/>
      <c r="J562" s="10"/>
    </row>
    <row r="563" ht="14.25" customHeight="1">
      <c r="A563" s="41"/>
      <c r="B563" s="16"/>
      <c r="C563" s="10"/>
      <c r="D563" s="10"/>
      <c r="E563" s="10"/>
      <c r="F563" s="10"/>
      <c r="G563" s="10"/>
      <c r="H563" s="10"/>
      <c r="I563" s="10"/>
      <c r="J563" s="10"/>
    </row>
    <row r="564" ht="14.25" customHeight="1">
      <c r="A564" s="41"/>
      <c r="B564" s="16"/>
      <c r="C564" s="10"/>
      <c r="D564" s="10"/>
      <c r="E564" s="10"/>
      <c r="F564" s="10"/>
      <c r="G564" s="10"/>
      <c r="H564" s="10"/>
      <c r="I564" s="10"/>
      <c r="J564" s="10"/>
    </row>
    <row r="565" ht="14.25" customHeight="1">
      <c r="A565" s="41"/>
      <c r="B565" s="16"/>
      <c r="C565" s="10"/>
      <c r="D565" s="10"/>
      <c r="E565" s="10"/>
      <c r="F565" s="10"/>
      <c r="G565" s="10"/>
      <c r="H565" s="10"/>
      <c r="I565" s="10"/>
      <c r="J565" s="10"/>
    </row>
    <row r="566" ht="14.25" customHeight="1">
      <c r="A566" s="41"/>
      <c r="B566" s="16"/>
      <c r="C566" s="10"/>
      <c r="D566" s="10"/>
      <c r="E566" s="10"/>
      <c r="F566" s="10"/>
      <c r="G566" s="10"/>
      <c r="H566" s="10"/>
      <c r="I566" s="10"/>
      <c r="J566" s="10"/>
    </row>
    <row r="567" ht="14.25" customHeight="1">
      <c r="A567" s="41"/>
      <c r="B567" s="16"/>
      <c r="C567" s="10"/>
      <c r="D567" s="10"/>
      <c r="E567" s="10"/>
      <c r="F567" s="10"/>
      <c r="G567" s="10"/>
      <c r="H567" s="10"/>
      <c r="I567" s="10"/>
      <c r="J567" s="10"/>
    </row>
    <row r="568" ht="14.25" customHeight="1">
      <c r="A568" s="41"/>
      <c r="B568" s="16"/>
      <c r="C568" s="10"/>
      <c r="D568" s="10"/>
      <c r="E568" s="10"/>
      <c r="F568" s="10"/>
      <c r="G568" s="10"/>
      <c r="H568" s="10"/>
      <c r="I568" s="10"/>
      <c r="J568" s="10"/>
    </row>
    <row r="569" ht="14.25" customHeight="1">
      <c r="A569" s="41"/>
      <c r="B569" s="16"/>
      <c r="C569" s="10"/>
      <c r="D569" s="10"/>
      <c r="E569" s="10"/>
      <c r="F569" s="10"/>
      <c r="G569" s="10"/>
      <c r="H569" s="10"/>
      <c r="I569" s="10"/>
      <c r="J569" s="10"/>
    </row>
    <row r="570" ht="14.25" customHeight="1">
      <c r="A570" s="41"/>
      <c r="B570" s="16"/>
      <c r="C570" s="10"/>
      <c r="D570" s="10"/>
      <c r="E570" s="10"/>
      <c r="F570" s="10"/>
      <c r="G570" s="10"/>
      <c r="H570" s="10"/>
      <c r="I570" s="10"/>
      <c r="J570" s="10"/>
    </row>
    <row r="571" ht="14.25" customHeight="1">
      <c r="A571" s="41"/>
      <c r="B571" s="16"/>
      <c r="C571" s="10"/>
      <c r="D571" s="10"/>
      <c r="E571" s="10"/>
      <c r="F571" s="10"/>
      <c r="G571" s="10"/>
      <c r="H571" s="10"/>
      <c r="I571" s="10"/>
      <c r="J571" s="10"/>
    </row>
    <row r="572" ht="14.25" customHeight="1">
      <c r="A572" s="41"/>
      <c r="B572" s="16"/>
      <c r="C572" s="10"/>
      <c r="D572" s="10"/>
      <c r="E572" s="10"/>
      <c r="F572" s="10"/>
      <c r="G572" s="10"/>
      <c r="H572" s="10"/>
      <c r="I572" s="10"/>
      <c r="J572" s="10"/>
    </row>
    <row r="573" ht="14.25" customHeight="1">
      <c r="A573" s="41"/>
      <c r="B573" s="16"/>
      <c r="C573" s="10"/>
      <c r="D573" s="10"/>
      <c r="E573" s="10"/>
      <c r="F573" s="10"/>
      <c r="G573" s="10"/>
      <c r="H573" s="10"/>
      <c r="I573" s="10"/>
      <c r="J573" s="10"/>
    </row>
    <row r="574" ht="14.25" customHeight="1">
      <c r="A574" s="41"/>
      <c r="B574" s="16"/>
      <c r="C574" s="10"/>
      <c r="D574" s="10"/>
      <c r="E574" s="10"/>
      <c r="F574" s="10"/>
      <c r="G574" s="10"/>
      <c r="H574" s="10"/>
      <c r="I574" s="10"/>
      <c r="J574" s="10"/>
    </row>
    <row r="575" ht="14.25" customHeight="1">
      <c r="A575" s="41"/>
      <c r="B575" s="16"/>
      <c r="C575" s="10"/>
      <c r="D575" s="10"/>
      <c r="E575" s="10"/>
      <c r="F575" s="10"/>
      <c r="G575" s="10"/>
      <c r="H575" s="10"/>
      <c r="I575" s="10"/>
      <c r="J575" s="10"/>
    </row>
    <row r="576" ht="14.25" customHeight="1">
      <c r="A576" s="41"/>
      <c r="B576" s="16"/>
      <c r="C576" s="10"/>
      <c r="D576" s="10"/>
      <c r="E576" s="10"/>
      <c r="F576" s="10"/>
      <c r="G576" s="10"/>
      <c r="H576" s="10"/>
      <c r="I576" s="10"/>
      <c r="J576" s="10"/>
    </row>
    <row r="577" ht="14.25" customHeight="1">
      <c r="A577" s="41"/>
      <c r="B577" s="16"/>
      <c r="C577" s="10"/>
      <c r="D577" s="10"/>
      <c r="E577" s="10"/>
      <c r="F577" s="10"/>
      <c r="G577" s="10"/>
      <c r="H577" s="10"/>
      <c r="I577" s="10"/>
      <c r="J577" s="10"/>
    </row>
    <row r="578" ht="14.25" customHeight="1">
      <c r="A578" s="41"/>
      <c r="B578" s="16"/>
      <c r="C578" s="10"/>
      <c r="D578" s="10"/>
      <c r="E578" s="10"/>
      <c r="F578" s="10"/>
      <c r="G578" s="10"/>
      <c r="H578" s="10"/>
      <c r="I578" s="10"/>
      <c r="J578" s="10"/>
    </row>
    <row r="579" ht="14.25" customHeight="1">
      <c r="A579" s="41"/>
      <c r="B579" s="16"/>
      <c r="C579" s="10"/>
      <c r="D579" s="10"/>
      <c r="E579" s="10"/>
      <c r="F579" s="10"/>
      <c r="G579" s="10"/>
      <c r="H579" s="10"/>
      <c r="I579" s="10"/>
      <c r="J579" s="10"/>
    </row>
    <row r="580" ht="14.25" customHeight="1">
      <c r="A580" s="41"/>
      <c r="B580" s="16"/>
      <c r="C580" s="10"/>
      <c r="D580" s="10"/>
      <c r="E580" s="10"/>
      <c r="F580" s="10"/>
      <c r="G580" s="10"/>
      <c r="H580" s="10"/>
      <c r="I580" s="10"/>
      <c r="J580" s="10"/>
    </row>
    <row r="581" ht="14.25" customHeight="1">
      <c r="A581" s="41"/>
      <c r="B581" s="16"/>
      <c r="C581" s="10"/>
      <c r="D581" s="10"/>
      <c r="E581" s="10"/>
      <c r="F581" s="10"/>
      <c r="G581" s="10"/>
      <c r="H581" s="10"/>
      <c r="I581" s="10"/>
      <c r="J581" s="10"/>
    </row>
    <row r="582" ht="14.25" customHeight="1">
      <c r="A582" s="41"/>
      <c r="B582" s="16"/>
      <c r="C582" s="10"/>
      <c r="D582" s="10"/>
      <c r="E582" s="10"/>
      <c r="F582" s="10"/>
      <c r="G582" s="10"/>
      <c r="H582" s="10"/>
      <c r="I582" s="10"/>
      <c r="J582" s="10"/>
    </row>
    <row r="583" ht="14.25" customHeight="1">
      <c r="A583" s="41"/>
      <c r="B583" s="16"/>
      <c r="C583" s="10"/>
      <c r="D583" s="10"/>
      <c r="E583" s="10"/>
      <c r="F583" s="10"/>
      <c r="G583" s="10"/>
      <c r="H583" s="10"/>
      <c r="I583" s="10"/>
      <c r="J583" s="10"/>
    </row>
    <row r="584" ht="14.25" customHeight="1">
      <c r="A584" s="41"/>
      <c r="B584" s="16"/>
      <c r="C584" s="10"/>
      <c r="D584" s="10"/>
      <c r="E584" s="10"/>
      <c r="F584" s="10"/>
      <c r="G584" s="10"/>
      <c r="H584" s="10"/>
      <c r="I584" s="10"/>
      <c r="J584" s="10"/>
    </row>
    <row r="585" ht="14.25" customHeight="1">
      <c r="A585" s="41"/>
      <c r="B585" s="16"/>
      <c r="C585" s="10"/>
      <c r="D585" s="10"/>
      <c r="E585" s="10"/>
      <c r="F585" s="10"/>
      <c r="G585" s="10"/>
      <c r="H585" s="10"/>
      <c r="I585" s="10"/>
      <c r="J585" s="10"/>
    </row>
    <row r="586" ht="14.25" customHeight="1">
      <c r="A586" s="41"/>
      <c r="B586" s="16"/>
      <c r="C586" s="10"/>
      <c r="D586" s="10"/>
      <c r="E586" s="10"/>
      <c r="F586" s="10"/>
      <c r="G586" s="10"/>
      <c r="H586" s="10"/>
      <c r="I586" s="10"/>
      <c r="J586" s="10"/>
    </row>
    <row r="587" ht="14.25" customHeight="1">
      <c r="A587" s="41"/>
      <c r="B587" s="16"/>
      <c r="C587" s="10"/>
      <c r="D587" s="10"/>
      <c r="E587" s="10"/>
      <c r="F587" s="10"/>
      <c r="G587" s="10"/>
      <c r="H587" s="10"/>
      <c r="I587" s="10"/>
      <c r="J587" s="10"/>
    </row>
    <row r="588" ht="14.25" customHeight="1">
      <c r="A588" s="41"/>
      <c r="B588" s="16"/>
      <c r="C588" s="10"/>
      <c r="D588" s="10"/>
      <c r="E588" s="10"/>
      <c r="F588" s="10"/>
      <c r="G588" s="10"/>
      <c r="H588" s="10"/>
      <c r="I588" s="10"/>
      <c r="J588" s="10"/>
    </row>
    <row r="589" ht="14.25" customHeight="1">
      <c r="A589" s="41"/>
      <c r="B589" s="16"/>
      <c r="C589" s="10"/>
      <c r="D589" s="10"/>
      <c r="E589" s="10"/>
      <c r="F589" s="10"/>
      <c r="G589" s="10"/>
      <c r="H589" s="10"/>
      <c r="I589" s="10"/>
      <c r="J589" s="10"/>
    </row>
    <row r="590" ht="14.25" customHeight="1">
      <c r="A590" s="41"/>
      <c r="B590" s="16"/>
      <c r="C590" s="10"/>
      <c r="D590" s="10"/>
      <c r="E590" s="10"/>
      <c r="F590" s="10"/>
      <c r="G590" s="10"/>
      <c r="H590" s="10"/>
      <c r="I590" s="10"/>
      <c r="J590" s="10"/>
    </row>
    <row r="591" ht="14.25" customHeight="1">
      <c r="A591" s="41"/>
      <c r="B591" s="16"/>
      <c r="C591" s="10"/>
      <c r="D591" s="10"/>
      <c r="E591" s="10"/>
      <c r="F591" s="10"/>
      <c r="G591" s="10"/>
      <c r="H591" s="10"/>
      <c r="I591" s="10"/>
      <c r="J591" s="10"/>
    </row>
    <row r="592" ht="14.25" customHeight="1">
      <c r="A592" s="41"/>
      <c r="B592" s="16"/>
      <c r="C592" s="10"/>
      <c r="D592" s="10"/>
      <c r="E592" s="10"/>
      <c r="F592" s="10"/>
      <c r="G592" s="10"/>
      <c r="H592" s="10"/>
      <c r="I592" s="10"/>
      <c r="J592" s="10"/>
    </row>
    <row r="593" ht="14.25" customHeight="1">
      <c r="A593" s="41"/>
      <c r="B593" s="16"/>
      <c r="C593" s="10"/>
      <c r="D593" s="10"/>
      <c r="E593" s="10"/>
      <c r="F593" s="10"/>
      <c r="G593" s="10"/>
      <c r="H593" s="10"/>
      <c r="I593" s="10"/>
      <c r="J593" s="10"/>
    </row>
    <row r="594" ht="14.25" customHeight="1">
      <c r="A594" s="41"/>
      <c r="B594" s="16"/>
      <c r="C594" s="10"/>
      <c r="D594" s="10"/>
      <c r="E594" s="10"/>
      <c r="F594" s="10"/>
      <c r="G594" s="10"/>
      <c r="H594" s="10"/>
      <c r="I594" s="10"/>
      <c r="J594" s="10"/>
    </row>
    <row r="595" ht="14.25" customHeight="1">
      <c r="A595" s="41"/>
      <c r="B595" s="16"/>
      <c r="C595" s="10"/>
      <c r="D595" s="10"/>
      <c r="E595" s="10"/>
      <c r="F595" s="10"/>
      <c r="G595" s="10"/>
      <c r="H595" s="10"/>
      <c r="I595" s="10"/>
      <c r="J595" s="10"/>
    </row>
    <row r="596" ht="14.25" customHeight="1">
      <c r="A596" s="41"/>
      <c r="B596" s="16"/>
      <c r="C596" s="10"/>
      <c r="D596" s="10"/>
      <c r="E596" s="10"/>
      <c r="F596" s="10"/>
      <c r="G596" s="10"/>
      <c r="H596" s="10"/>
      <c r="I596" s="10"/>
      <c r="J596" s="10"/>
    </row>
    <row r="597" ht="14.25" customHeight="1">
      <c r="A597" s="41"/>
      <c r="B597" s="16"/>
      <c r="C597" s="10"/>
      <c r="D597" s="10"/>
      <c r="E597" s="10"/>
      <c r="F597" s="10"/>
      <c r="G597" s="10"/>
      <c r="H597" s="10"/>
      <c r="I597" s="10"/>
      <c r="J597" s="10"/>
    </row>
    <row r="598" ht="14.25" customHeight="1">
      <c r="A598" s="41"/>
      <c r="B598" s="16"/>
      <c r="C598" s="10"/>
      <c r="D598" s="10"/>
      <c r="E598" s="10"/>
      <c r="F598" s="10"/>
      <c r="G598" s="10"/>
      <c r="H598" s="10"/>
      <c r="I598" s="10"/>
      <c r="J598" s="10"/>
    </row>
    <row r="599" ht="14.25" customHeight="1">
      <c r="A599" s="41"/>
      <c r="B599" s="16"/>
      <c r="C599" s="10"/>
      <c r="D599" s="10"/>
      <c r="E599" s="10"/>
      <c r="F599" s="10"/>
      <c r="G599" s="10"/>
      <c r="H599" s="10"/>
      <c r="I599" s="10"/>
      <c r="J599" s="10"/>
    </row>
    <row r="600" ht="14.25" customHeight="1">
      <c r="A600" s="41"/>
      <c r="B600" s="16"/>
      <c r="C600" s="10"/>
      <c r="D600" s="10"/>
      <c r="E600" s="10"/>
      <c r="F600" s="10"/>
      <c r="G600" s="10"/>
      <c r="H600" s="10"/>
      <c r="I600" s="10"/>
      <c r="J600" s="10"/>
    </row>
    <row r="601" ht="14.25" customHeight="1">
      <c r="A601" s="41"/>
      <c r="B601" s="16"/>
      <c r="C601" s="10"/>
      <c r="D601" s="10"/>
      <c r="E601" s="10"/>
      <c r="F601" s="10"/>
      <c r="G601" s="10"/>
      <c r="H601" s="10"/>
      <c r="I601" s="10"/>
      <c r="J601" s="10"/>
    </row>
    <row r="602" ht="14.25" customHeight="1">
      <c r="A602" s="41"/>
      <c r="B602" s="16"/>
      <c r="C602" s="10"/>
      <c r="D602" s="10"/>
      <c r="E602" s="10"/>
      <c r="F602" s="10"/>
      <c r="G602" s="10"/>
      <c r="H602" s="10"/>
      <c r="I602" s="10"/>
      <c r="J602" s="10"/>
    </row>
    <row r="603" ht="14.25" customHeight="1">
      <c r="A603" s="41"/>
      <c r="B603" s="16"/>
      <c r="C603" s="10"/>
      <c r="D603" s="10"/>
      <c r="E603" s="10"/>
      <c r="F603" s="10"/>
      <c r="G603" s="10"/>
      <c r="H603" s="10"/>
      <c r="I603" s="10"/>
      <c r="J603" s="10"/>
    </row>
    <row r="604" ht="14.25" customHeight="1">
      <c r="A604" s="41"/>
      <c r="B604" s="16"/>
      <c r="C604" s="10"/>
      <c r="D604" s="10"/>
      <c r="E604" s="10"/>
      <c r="F604" s="10"/>
      <c r="G604" s="10"/>
      <c r="H604" s="10"/>
      <c r="I604" s="10"/>
      <c r="J604" s="10"/>
    </row>
    <row r="605" ht="14.25" customHeight="1">
      <c r="A605" s="41"/>
      <c r="B605" s="16"/>
      <c r="C605" s="10"/>
      <c r="D605" s="10"/>
      <c r="E605" s="10"/>
      <c r="F605" s="10"/>
      <c r="G605" s="10"/>
      <c r="H605" s="10"/>
      <c r="I605" s="10"/>
      <c r="J605" s="10"/>
    </row>
    <row r="606" ht="14.25" customHeight="1">
      <c r="A606" s="41"/>
      <c r="B606" s="16"/>
      <c r="C606" s="10"/>
      <c r="D606" s="10"/>
      <c r="E606" s="10"/>
      <c r="F606" s="10"/>
      <c r="G606" s="10"/>
      <c r="H606" s="10"/>
      <c r="I606" s="10"/>
      <c r="J606" s="10"/>
    </row>
    <row r="607" ht="14.25" customHeight="1">
      <c r="A607" s="41"/>
      <c r="B607" s="16"/>
      <c r="C607" s="10"/>
      <c r="D607" s="10"/>
      <c r="E607" s="10"/>
      <c r="F607" s="10"/>
      <c r="G607" s="10"/>
      <c r="H607" s="10"/>
      <c r="I607" s="10"/>
      <c r="J607" s="10"/>
    </row>
    <row r="608" ht="14.25" customHeight="1">
      <c r="A608" s="41"/>
      <c r="B608" s="16"/>
      <c r="C608" s="10"/>
      <c r="D608" s="10"/>
      <c r="E608" s="10"/>
      <c r="F608" s="10"/>
      <c r="G608" s="10"/>
      <c r="H608" s="10"/>
      <c r="I608" s="10"/>
      <c r="J608" s="10"/>
    </row>
    <row r="609" ht="14.25" customHeight="1">
      <c r="A609" s="41"/>
      <c r="B609" s="16"/>
      <c r="C609" s="10"/>
      <c r="D609" s="10"/>
      <c r="E609" s="10"/>
      <c r="F609" s="10"/>
      <c r="G609" s="10"/>
      <c r="H609" s="10"/>
      <c r="I609" s="10"/>
      <c r="J609" s="10"/>
    </row>
    <row r="610" ht="14.25" customHeight="1">
      <c r="A610" s="41"/>
      <c r="B610" s="16"/>
      <c r="C610" s="10"/>
      <c r="D610" s="10"/>
      <c r="E610" s="10"/>
      <c r="F610" s="10"/>
      <c r="G610" s="10"/>
      <c r="H610" s="10"/>
      <c r="I610" s="10"/>
      <c r="J610" s="10"/>
    </row>
    <row r="611" ht="14.25" customHeight="1">
      <c r="A611" s="41"/>
      <c r="B611" s="16"/>
      <c r="C611" s="10"/>
      <c r="D611" s="10"/>
      <c r="E611" s="10"/>
      <c r="F611" s="10"/>
      <c r="G611" s="10"/>
      <c r="H611" s="10"/>
      <c r="I611" s="10"/>
      <c r="J611" s="10"/>
    </row>
    <row r="612" ht="14.25" customHeight="1">
      <c r="A612" s="41"/>
      <c r="B612" s="16"/>
      <c r="C612" s="10"/>
      <c r="D612" s="10"/>
      <c r="E612" s="10"/>
      <c r="F612" s="10"/>
      <c r="G612" s="10"/>
      <c r="H612" s="10"/>
      <c r="I612" s="10"/>
      <c r="J612" s="10"/>
    </row>
    <row r="613" ht="14.25" customHeight="1">
      <c r="A613" s="41"/>
      <c r="B613" s="16"/>
      <c r="C613" s="10"/>
      <c r="D613" s="10"/>
      <c r="E613" s="10"/>
      <c r="F613" s="10"/>
      <c r="G613" s="10"/>
      <c r="H613" s="10"/>
      <c r="I613" s="10"/>
      <c r="J613" s="10"/>
    </row>
    <row r="614" ht="14.25" customHeight="1">
      <c r="A614" s="41"/>
      <c r="B614" s="16"/>
      <c r="C614" s="10"/>
      <c r="D614" s="10"/>
      <c r="E614" s="10"/>
      <c r="F614" s="10"/>
      <c r="G614" s="10"/>
      <c r="H614" s="10"/>
      <c r="I614" s="10"/>
      <c r="J614" s="10"/>
    </row>
    <row r="615" ht="14.25" customHeight="1">
      <c r="A615" s="41"/>
      <c r="B615" s="16"/>
      <c r="C615" s="10"/>
      <c r="D615" s="10"/>
      <c r="E615" s="10"/>
      <c r="F615" s="10"/>
      <c r="G615" s="10"/>
      <c r="H615" s="10"/>
      <c r="I615" s="10"/>
      <c r="J615" s="10"/>
    </row>
    <row r="616" ht="14.25" customHeight="1">
      <c r="A616" s="41"/>
      <c r="B616" s="16"/>
      <c r="C616" s="10"/>
      <c r="D616" s="10"/>
      <c r="E616" s="10"/>
      <c r="F616" s="10"/>
      <c r="G616" s="10"/>
      <c r="H616" s="10"/>
      <c r="I616" s="10"/>
      <c r="J616" s="10"/>
    </row>
    <row r="617" ht="14.25" customHeight="1">
      <c r="A617" s="41"/>
      <c r="B617" s="16"/>
      <c r="C617" s="10"/>
      <c r="D617" s="10"/>
      <c r="E617" s="10"/>
      <c r="F617" s="10"/>
      <c r="G617" s="10"/>
      <c r="H617" s="10"/>
      <c r="I617" s="10"/>
      <c r="J617" s="10"/>
    </row>
    <row r="618" ht="14.25" customHeight="1">
      <c r="A618" s="41"/>
      <c r="B618" s="16"/>
      <c r="C618" s="10"/>
      <c r="D618" s="10"/>
      <c r="E618" s="10"/>
      <c r="F618" s="10"/>
      <c r="G618" s="10"/>
      <c r="H618" s="10"/>
      <c r="I618" s="10"/>
      <c r="J618" s="10"/>
    </row>
    <row r="619" ht="14.25" customHeight="1">
      <c r="A619" s="41"/>
      <c r="B619" s="16"/>
      <c r="C619" s="10"/>
      <c r="D619" s="10"/>
      <c r="E619" s="10"/>
      <c r="F619" s="10"/>
      <c r="G619" s="10"/>
      <c r="H619" s="10"/>
      <c r="I619" s="10"/>
      <c r="J619" s="10"/>
    </row>
    <row r="620" ht="14.25" customHeight="1">
      <c r="A620" s="41"/>
      <c r="B620" s="16"/>
      <c r="C620" s="10"/>
      <c r="D620" s="10"/>
      <c r="E620" s="10"/>
      <c r="F620" s="10"/>
      <c r="G620" s="10"/>
      <c r="H620" s="10"/>
      <c r="I620" s="10"/>
      <c r="J620" s="10"/>
    </row>
    <row r="621" ht="14.25" customHeight="1">
      <c r="A621" s="41"/>
      <c r="B621" s="16"/>
      <c r="C621" s="10"/>
      <c r="D621" s="10"/>
      <c r="E621" s="10"/>
      <c r="F621" s="10"/>
      <c r="G621" s="10"/>
      <c r="H621" s="10"/>
      <c r="I621" s="10"/>
      <c r="J621" s="10"/>
    </row>
    <row r="622" ht="14.25" customHeight="1">
      <c r="A622" s="41"/>
      <c r="B622" s="16"/>
      <c r="C622" s="10"/>
      <c r="D622" s="10"/>
      <c r="E622" s="10"/>
      <c r="F622" s="10"/>
      <c r="G622" s="10"/>
      <c r="H622" s="10"/>
      <c r="I622" s="10"/>
      <c r="J622" s="10"/>
    </row>
    <row r="623" ht="14.25" customHeight="1">
      <c r="A623" s="41"/>
      <c r="B623" s="16"/>
      <c r="C623" s="10"/>
      <c r="D623" s="10"/>
      <c r="E623" s="10"/>
      <c r="F623" s="10"/>
      <c r="G623" s="10"/>
      <c r="H623" s="10"/>
      <c r="I623" s="10"/>
      <c r="J623" s="10"/>
    </row>
    <row r="624" ht="14.25" customHeight="1">
      <c r="A624" s="41"/>
      <c r="B624" s="16"/>
      <c r="C624" s="10"/>
      <c r="D624" s="10"/>
      <c r="E624" s="10"/>
      <c r="F624" s="10"/>
      <c r="G624" s="10"/>
      <c r="H624" s="10"/>
      <c r="I624" s="10"/>
      <c r="J624" s="10"/>
    </row>
    <row r="625" ht="14.25" customHeight="1">
      <c r="A625" s="41"/>
      <c r="B625" s="16"/>
      <c r="C625" s="10"/>
      <c r="D625" s="10"/>
      <c r="E625" s="10"/>
      <c r="F625" s="10"/>
      <c r="G625" s="10"/>
      <c r="H625" s="10"/>
      <c r="I625" s="10"/>
      <c r="J625" s="10"/>
    </row>
    <row r="626" ht="14.25" customHeight="1">
      <c r="A626" s="41"/>
      <c r="B626" s="16"/>
      <c r="C626" s="10"/>
      <c r="D626" s="10"/>
      <c r="E626" s="10"/>
      <c r="F626" s="10"/>
      <c r="G626" s="10"/>
      <c r="H626" s="10"/>
      <c r="I626" s="10"/>
      <c r="J626" s="10"/>
    </row>
    <row r="627" ht="14.25" customHeight="1">
      <c r="A627" s="41"/>
      <c r="B627" s="16"/>
      <c r="C627" s="10"/>
      <c r="D627" s="10"/>
      <c r="E627" s="10"/>
      <c r="F627" s="10"/>
      <c r="G627" s="10"/>
      <c r="H627" s="10"/>
      <c r="I627" s="10"/>
      <c r="J627" s="10"/>
    </row>
    <row r="628" ht="14.25" customHeight="1">
      <c r="A628" s="41"/>
      <c r="B628" s="16"/>
      <c r="C628" s="10"/>
      <c r="D628" s="10"/>
      <c r="E628" s="10"/>
      <c r="F628" s="10"/>
      <c r="G628" s="10"/>
      <c r="H628" s="10"/>
      <c r="I628" s="10"/>
      <c r="J628" s="10"/>
    </row>
    <row r="629" ht="14.25" customHeight="1">
      <c r="A629" s="41"/>
      <c r="B629" s="16"/>
      <c r="C629" s="10"/>
      <c r="D629" s="10"/>
      <c r="E629" s="10"/>
      <c r="F629" s="10"/>
      <c r="G629" s="10"/>
      <c r="H629" s="10"/>
      <c r="I629" s="10"/>
      <c r="J629" s="10"/>
    </row>
    <row r="630" ht="14.25" customHeight="1">
      <c r="A630" s="41"/>
      <c r="B630" s="16"/>
      <c r="C630" s="10"/>
      <c r="D630" s="10"/>
      <c r="E630" s="10"/>
      <c r="F630" s="10"/>
      <c r="G630" s="10"/>
      <c r="H630" s="10"/>
      <c r="I630" s="10"/>
      <c r="J630" s="10"/>
    </row>
    <row r="631" ht="14.25" customHeight="1">
      <c r="A631" s="41"/>
      <c r="B631" s="16"/>
      <c r="C631" s="10"/>
      <c r="D631" s="10"/>
      <c r="E631" s="10"/>
      <c r="F631" s="10"/>
      <c r="G631" s="10"/>
      <c r="H631" s="10"/>
      <c r="I631" s="10"/>
      <c r="J631" s="10"/>
    </row>
    <row r="632" ht="14.25" customHeight="1">
      <c r="A632" s="41"/>
      <c r="B632" s="16"/>
      <c r="C632" s="10"/>
      <c r="D632" s="10"/>
      <c r="E632" s="10"/>
      <c r="F632" s="10"/>
      <c r="G632" s="10"/>
      <c r="H632" s="10"/>
      <c r="I632" s="10"/>
      <c r="J632" s="10"/>
    </row>
    <row r="633" ht="14.25" customHeight="1">
      <c r="A633" s="41"/>
      <c r="B633" s="16"/>
      <c r="C633" s="10"/>
      <c r="D633" s="10"/>
      <c r="E633" s="10"/>
      <c r="F633" s="10"/>
      <c r="G633" s="10"/>
      <c r="H633" s="10"/>
      <c r="I633" s="10"/>
      <c r="J633" s="10"/>
    </row>
    <row r="634" ht="14.25" customHeight="1">
      <c r="A634" s="41"/>
      <c r="B634" s="16"/>
      <c r="C634" s="10"/>
      <c r="D634" s="10"/>
      <c r="E634" s="10"/>
      <c r="F634" s="10"/>
      <c r="G634" s="10"/>
      <c r="H634" s="10"/>
      <c r="I634" s="10"/>
      <c r="J634" s="10"/>
    </row>
    <row r="635" ht="14.25" customHeight="1">
      <c r="A635" s="41"/>
      <c r="B635" s="16"/>
      <c r="C635" s="10"/>
      <c r="D635" s="10"/>
      <c r="E635" s="10"/>
      <c r="F635" s="10"/>
      <c r="G635" s="10"/>
      <c r="H635" s="10"/>
      <c r="I635" s="10"/>
      <c r="J635" s="10"/>
    </row>
    <row r="636" ht="14.25" customHeight="1">
      <c r="A636" s="41"/>
      <c r="B636" s="16"/>
      <c r="C636" s="10"/>
      <c r="D636" s="10"/>
      <c r="E636" s="10"/>
      <c r="F636" s="10"/>
      <c r="G636" s="10"/>
      <c r="H636" s="10"/>
      <c r="I636" s="10"/>
      <c r="J636" s="10"/>
    </row>
    <row r="637" ht="14.25" customHeight="1">
      <c r="A637" s="41"/>
      <c r="B637" s="16"/>
      <c r="C637" s="10"/>
      <c r="D637" s="10"/>
      <c r="E637" s="10"/>
      <c r="F637" s="10"/>
      <c r="G637" s="10"/>
      <c r="H637" s="10"/>
      <c r="I637" s="10"/>
      <c r="J637" s="10"/>
    </row>
    <row r="638" ht="14.25" customHeight="1">
      <c r="A638" s="41"/>
      <c r="B638" s="16"/>
      <c r="C638" s="10"/>
      <c r="D638" s="10"/>
      <c r="E638" s="10"/>
      <c r="F638" s="10"/>
      <c r="G638" s="10"/>
      <c r="H638" s="10"/>
      <c r="I638" s="10"/>
      <c r="J638" s="10"/>
    </row>
    <row r="639" ht="14.25" customHeight="1">
      <c r="A639" s="41"/>
      <c r="B639" s="16"/>
      <c r="C639" s="10"/>
      <c r="D639" s="10"/>
      <c r="E639" s="10"/>
      <c r="F639" s="10"/>
      <c r="G639" s="10"/>
      <c r="H639" s="10"/>
      <c r="I639" s="10"/>
      <c r="J639" s="10"/>
    </row>
    <row r="640" ht="14.25" customHeight="1">
      <c r="A640" s="41"/>
      <c r="B640" s="16"/>
      <c r="C640" s="10"/>
      <c r="D640" s="10"/>
      <c r="E640" s="10"/>
      <c r="F640" s="10"/>
      <c r="G640" s="10"/>
      <c r="H640" s="10"/>
      <c r="I640" s="10"/>
      <c r="J640" s="10"/>
    </row>
    <row r="641" ht="14.25" customHeight="1">
      <c r="A641" s="41"/>
      <c r="B641" s="16"/>
      <c r="C641" s="10"/>
      <c r="D641" s="10"/>
      <c r="E641" s="10"/>
      <c r="F641" s="10"/>
      <c r="G641" s="10"/>
      <c r="H641" s="10"/>
      <c r="I641" s="10"/>
      <c r="J641" s="10"/>
    </row>
    <row r="642" ht="14.25" customHeight="1">
      <c r="A642" s="41"/>
      <c r="B642" s="16"/>
      <c r="C642" s="10"/>
      <c r="D642" s="10"/>
      <c r="E642" s="10"/>
      <c r="F642" s="10"/>
      <c r="G642" s="10"/>
      <c r="H642" s="10"/>
      <c r="I642" s="10"/>
      <c r="J642" s="10"/>
    </row>
    <row r="643" ht="14.25" customHeight="1">
      <c r="A643" s="41"/>
      <c r="B643" s="16"/>
      <c r="C643" s="10"/>
      <c r="D643" s="10"/>
      <c r="E643" s="10"/>
      <c r="F643" s="10"/>
      <c r="G643" s="10"/>
      <c r="H643" s="10"/>
      <c r="I643" s="10"/>
      <c r="J643" s="10"/>
    </row>
    <row r="644" ht="14.25" customHeight="1">
      <c r="A644" s="41"/>
      <c r="B644" s="16"/>
      <c r="C644" s="10"/>
      <c r="D644" s="10"/>
      <c r="E644" s="10"/>
      <c r="F644" s="10"/>
      <c r="G644" s="10"/>
      <c r="H644" s="10"/>
      <c r="I644" s="10"/>
      <c r="J644" s="10"/>
    </row>
    <row r="645" ht="14.25" customHeight="1">
      <c r="A645" s="41"/>
      <c r="B645" s="16"/>
      <c r="C645" s="10"/>
      <c r="D645" s="10"/>
      <c r="E645" s="10"/>
      <c r="F645" s="10"/>
      <c r="G645" s="10"/>
      <c r="H645" s="10"/>
      <c r="I645" s="10"/>
      <c r="J645" s="10"/>
    </row>
    <row r="646" ht="14.25" customHeight="1">
      <c r="A646" s="41"/>
      <c r="B646" s="16"/>
      <c r="C646" s="10"/>
      <c r="D646" s="10"/>
      <c r="E646" s="10"/>
      <c r="F646" s="10"/>
      <c r="G646" s="10"/>
      <c r="H646" s="10"/>
      <c r="I646" s="10"/>
      <c r="J646" s="10"/>
    </row>
    <row r="647" ht="14.25" customHeight="1">
      <c r="A647" s="41"/>
      <c r="B647" s="16"/>
      <c r="C647" s="10"/>
      <c r="D647" s="10"/>
      <c r="E647" s="10"/>
      <c r="F647" s="10"/>
      <c r="G647" s="10"/>
      <c r="H647" s="10"/>
      <c r="I647" s="10"/>
      <c r="J647" s="10"/>
    </row>
    <row r="648" ht="14.25" customHeight="1">
      <c r="A648" s="41"/>
      <c r="B648" s="16"/>
      <c r="C648" s="10"/>
      <c r="D648" s="10"/>
      <c r="E648" s="10"/>
      <c r="F648" s="10"/>
      <c r="G648" s="10"/>
      <c r="H648" s="10"/>
      <c r="I648" s="10"/>
      <c r="J648" s="10"/>
    </row>
    <row r="649" ht="14.25" customHeight="1">
      <c r="A649" s="41"/>
      <c r="B649" s="16"/>
      <c r="C649" s="10"/>
      <c r="D649" s="10"/>
      <c r="E649" s="10"/>
      <c r="F649" s="10"/>
      <c r="G649" s="10"/>
      <c r="H649" s="10"/>
      <c r="I649" s="10"/>
      <c r="J649" s="10"/>
    </row>
    <row r="650" ht="14.25" customHeight="1">
      <c r="A650" s="41"/>
      <c r="B650" s="16"/>
      <c r="C650" s="10"/>
      <c r="D650" s="10"/>
      <c r="E650" s="10"/>
      <c r="F650" s="10"/>
      <c r="G650" s="10"/>
      <c r="H650" s="10"/>
      <c r="I650" s="10"/>
      <c r="J650" s="10"/>
    </row>
    <row r="651" ht="14.25" customHeight="1">
      <c r="A651" s="41"/>
      <c r="B651" s="16"/>
      <c r="C651" s="10"/>
      <c r="D651" s="10"/>
      <c r="E651" s="10"/>
      <c r="F651" s="10"/>
      <c r="G651" s="10"/>
      <c r="H651" s="10"/>
      <c r="I651" s="10"/>
      <c r="J651" s="10"/>
    </row>
    <row r="652" ht="14.25" customHeight="1">
      <c r="A652" s="41"/>
      <c r="B652" s="16"/>
      <c r="C652" s="10"/>
      <c r="D652" s="10"/>
      <c r="E652" s="10"/>
      <c r="F652" s="10"/>
      <c r="G652" s="10"/>
      <c r="H652" s="10"/>
      <c r="I652" s="10"/>
      <c r="J652" s="10"/>
    </row>
    <row r="653" ht="14.25" customHeight="1">
      <c r="A653" s="41"/>
      <c r="B653" s="16"/>
      <c r="C653" s="10"/>
      <c r="D653" s="10"/>
      <c r="E653" s="10"/>
      <c r="F653" s="10"/>
      <c r="G653" s="10"/>
      <c r="H653" s="10"/>
      <c r="I653" s="10"/>
      <c r="J653" s="10"/>
    </row>
    <row r="654" ht="14.25" customHeight="1">
      <c r="A654" s="41"/>
      <c r="B654" s="16"/>
      <c r="C654" s="10"/>
      <c r="D654" s="10"/>
      <c r="E654" s="10"/>
      <c r="F654" s="10"/>
      <c r="G654" s="10"/>
      <c r="H654" s="10"/>
      <c r="I654" s="10"/>
      <c r="J654" s="10"/>
    </row>
    <row r="655" ht="14.25" customHeight="1">
      <c r="A655" s="41"/>
      <c r="B655" s="16"/>
      <c r="C655" s="10"/>
      <c r="D655" s="10"/>
      <c r="E655" s="10"/>
      <c r="F655" s="10"/>
      <c r="G655" s="10"/>
      <c r="H655" s="10"/>
      <c r="I655" s="10"/>
      <c r="J655" s="10"/>
    </row>
    <row r="656" ht="14.25" customHeight="1">
      <c r="A656" s="41"/>
      <c r="B656" s="16"/>
      <c r="C656" s="10"/>
      <c r="D656" s="10"/>
      <c r="E656" s="10"/>
      <c r="F656" s="10"/>
      <c r="G656" s="10"/>
      <c r="H656" s="10"/>
      <c r="I656" s="10"/>
      <c r="J656" s="10"/>
    </row>
    <row r="657" ht="14.25" customHeight="1">
      <c r="A657" s="41"/>
      <c r="B657" s="16"/>
      <c r="C657" s="10"/>
      <c r="D657" s="10"/>
      <c r="E657" s="10"/>
      <c r="F657" s="10"/>
      <c r="G657" s="10"/>
      <c r="H657" s="10"/>
      <c r="I657" s="10"/>
      <c r="J657" s="10"/>
    </row>
    <row r="658" ht="14.25" customHeight="1">
      <c r="A658" s="41"/>
      <c r="B658" s="16"/>
      <c r="C658" s="10"/>
      <c r="D658" s="10"/>
      <c r="E658" s="10"/>
      <c r="F658" s="10"/>
      <c r="G658" s="10"/>
      <c r="H658" s="10"/>
      <c r="I658" s="10"/>
      <c r="J658" s="10"/>
    </row>
    <row r="659" ht="14.25" customHeight="1">
      <c r="A659" s="41"/>
      <c r="B659" s="16"/>
      <c r="C659" s="10"/>
      <c r="D659" s="10"/>
      <c r="E659" s="10"/>
      <c r="F659" s="10"/>
      <c r="G659" s="10"/>
      <c r="H659" s="10"/>
      <c r="I659" s="10"/>
      <c r="J659" s="10"/>
    </row>
    <row r="660" ht="14.25" customHeight="1">
      <c r="A660" s="41"/>
      <c r="B660" s="16"/>
      <c r="C660" s="10"/>
      <c r="D660" s="10"/>
      <c r="E660" s="10"/>
      <c r="F660" s="10"/>
      <c r="G660" s="10"/>
      <c r="H660" s="10"/>
      <c r="I660" s="10"/>
      <c r="J660" s="10"/>
    </row>
    <row r="661" ht="14.25" customHeight="1">
      <c r="A661" s="41"/>
      <c r="B661" s="16"/>
      <c r="C661" s="10"/>
      <c r="D661" s="10"/>
      <c r="E661" s="10"/>
      <c r="F661" s="10"/>
      <c r="G661" s="10"/>
      <c r="H661" s="10"/>
      <c r="I661" s="10"/>
      <c r="J661" s="10"/>
    </row>
    <row r="662" ht="14.25" customHeight="1">
      <c r="A662" s="41"/>
      <c r="B662" s="16"/>
      <c r="C662" s="10"/>
      <c r="D662" s="10"/>
      <c r="E662" s="10"/>
      <c r="F662" s="10"/>
      <c r="G662" s="10"/>
      <c r="H662" s="10"/>
      <c r="I662" s="10"/>
      <c r="J662" s="10"/>
    </row>
    <row r="663" ht="14.25" customHeight="1">
      <c r="A663" s="41"/>
      <c r="B663" s="16"/>
      <c r="C663" s="10"/>
      <c r="D663" s="10"/>
      <c r="E663" s="10"/>
      <c r="F663" s="10"/>
      <c r="G663" s="10"/>
      <c r="H663" s="10"/>
      <c r="I663" s="10"/>
      <c r="J663" s="10"/>
    </row>
    <row r="664" ht="14.25" customHeight="1">
      <c r="A664" s="41"/>
      <c r="B664" s="16"/>
      <c r="C664" s="10"/>
      <c r="D664" s="10"/>
      <c r="E664" s="10"/>
      <c r="F664" s="10"/>
      <c r="G664" s="10"/>
      <c r="H664" s="10"/>
      <c r="I664" s="10"/>
      <c r="J664" s="10"/>
    </row>
    <row r="665" ht="14.25" customHeight="1">
      <c r="A665" s="41"/>
      <c r="B665" s="16"/>
      <c r="C665" s="10"/>
      <c r="D665" s="10"/>
      <c r="E665" s="10"/>
      <c r="F665" s="10"/>
      <c r="G665" s="10"/>
      <c r="H665" s="10"/>
      <c r="I665" s="10"/>
      <c r="J665" s="10"/>
    </row>
    <row r="666" ht="14.25" customHeight="1">
      <c r="A666" s="41"/>
      <c r="B666" s="16"/>
      <c r="C666" s="10"/>
      <c r="D666" s="10"/>
      <c r="E666" s="10"/>
      <c r="F666" s="10"/>
      <c r="G666" s="10"/>
      <c r="H666" s="10"/>
      <c r="I666" s="10"/>
      <c r="J666" s="10"/>
    </row>
    <row r="667" ht="14.25" customHeight="1">
      <c r="A667" s="41"/>
      <c r="B667" s="16"/>
      <c r="C667" s="10"/>
      <c r="D667" s="10"/>
      <c r="E667" s="10"/>
      <c r="F667" s="10"/>
      <c r="G667" s="10"/>
      <c r="H667" s="10"/>
      <c r="I667" s="10"/>
      <c r="J667" s="10"/>
    </row>
    <row r="668" ht="14.25" customHeight="1">
      <c r="A668" s="41"/>
      <c r="B668" s="16"/>
      <c r="C668" s="10"/>
      <c r="D668" s="10"/>
      <c r="E668" s="10"/>
      <c r="F668" s="10"/>
      <c r="G668" s="10"/>
      <c r="H668" s="10"/>
      <c r="I668" s="10"/>
      <c r="J668" s="10"/>
    </row>
    <row r="669" ht="14.25" customHeight="1">
      <c r="A669" s="41"/>
      <c r="B669" s="16"/>
      <c r="C669" s="10"/>
      <c r="D669" s="10"/>
      <c r="E669" s="10"/>
      <c r="F669" s="10"/>
      <c r="G669" s="10"/>
      <c r="H669" s="10"/>
      <c r="I669" s="10"/>
      <c r="J669" s="10"/>
    </row>
    <row r="670" ht="14.25" customHeight="1">
      <c r="A670" s="41"/>
      <c r="B670" s="16"/>
      <c r="C670" s="10"/>
      <c r="D670" s="10"/>
      <c r="E670" s="10"/>
      <c r="F670" s="10"/>
      <c r="G670" s="10"/>
      <c r="H670" s="10"/>
      <c r="I670" s="10"/>
      <c r="J670" s="10"/>
    </row>
    <row r="671" ht="14.25" customHeight="1">
      <c r="A671" s="41"/>
      <c r="B671" s="16"/>
      <c r="C671" s="10"/>
      <c r="D671" s="10"/>
      <c r="E671" s="10"/>
      <c r="F671" s="10"/>
      <c r="G671" s="10"/>
      <c r="H671" s="10"/>
      <c r="I671" s="10"/>
      <c r="J671" s="10"/>
    </row>
    <row r="672" ht="14.25" customHeight="1">
      <c r="A672" s="41"/>
      <c r="B672" s="16"/>
      <c r="C672" s="10"/>
      <c r="D672" s="10"/>
      <c r="E672" s="10"/>
      <c r="F672" s="10"/>
      <c r="G672" s="10"/>
      <c r="H672" s="10"/>
      <c r="I672" s="10"/>
      <c r="J672" s="10"/>
    </row>
    <row r="673" ht="14.25" customHeight="1">
      <c r="A673" s="41"/>
      <c r="B673" s="16"/>
      <c r="C673" s="10"/>
      <c r="D673" s="10"/>
      <c r="E673" s="10"/>
      <c r="F673" s="10"/>
      <c r="G673" s="10"/>
      <c r="H673" s="10"/>
      <c r="I673" s="10"/>
      <c r="J673" s="10"/>
    </row>
    <row r="674" ht="14.25" customHeight="1">
      <c r="A674" s="41"/>
      <c r="B674" s="16"/>
      <c r="C674" s="10"/>
      <c r="D674" s="10"/>
      <c r="E674" s="10"/>
      <c r="F674" s="10"/>
      <c r="G674" s="10"/>
      <c r="H674" s="10"/>
      <c r="I674" s="10"/>
      <c r="J674" s="10"/>
    </row>
    <row r="675" ht="14.25" customHeight="1">
      <c r="A675" s="41"/>
      <c r="B675" s="16"/>
      <c r="C675" s="10"/>
      <c r="D675" s="10"/>
      <c r="E675" s="10"/>
      <c r="F675" s="10"/>
      <c r="G675" s="10"/>
      <c r="H675" s="10"/>
      <c r="I675" s="10"/>
      <c r="J675" s="10"/>
    </row>
    <row r="676" ht="14.25" customHeight="1">
      <c r="A676" s="41"/>
      <c r="B676" s="16"/>
      <c r="C676" s="10"/>
      <c r="D676" s="10"/>
      <c r="E676" s="10"/>
      <c r="F676" s="10"/>
      <c r="G676" s="10"/>
      <c r="H676" s="10"/>
      <c r="I676" s="10"/>
      <c r="J676" s="10"/>
    </row>
    <row r="677" ht="14.25" customHeight="1">
      <c r="A677" s="41"/>
      <c r="B677" s="16"/>
      <c r="C677" s="10"/>
      <c r="D677" s="10"/>
      <c r="E677" s="10"/>
      <c r="F677" s="10"/>
      <c r="G677" s="10"/>
      <c r="H677" s="10"/>
      <c r="I677" s="10"/>
      <c r="J677" s="10"/>
    </row>
    <row r="678" ht="14.25" customHeight="1">
      <c r="A678" s="41"/>
      <c r="B678" s="16"/>
      <c r="C678" s="10"/>
      <c r="D678" s="10"/>
      <c r="E678" s="10"/>
      <c r="F678" s="10"/>
      <c r="G678" s="10"/>
      <c r="H678" s="10"/>
      <c r="I678" s="10"/>
      <c r="J678" s="10"/>
    </row>
    <row r="679" ht="14.25" customHeight="1">
      <c r="A679" s="41"/>
      <c r="B679" s="16"/>
      <c r="C679" s="10"/>
      <c r="D679" s="10"/>
      <c r="E679" s="10"/>
      <c r="F679" s="10"/>
      <c r="G679" s="10"/>
      <c r="H679" s="10"/>
      <c r="I679" s="10"/>
      <c r="J679" s="10"/>
    </row>
    <row r="680" ht="14.25" customHeight="1">
      <c r="A680" s="41"/>
      <c r="B680" s="16"/>
      <c r="C680" s="10"/>
      <c r="D680" s="10"/>
      <c r="E680" s="10"/>
      <c r="F680" s="10"/>
      <c r="G680" s="10"/>
      <c r="H680" s="10"/>
      <c r="I680" s="10"/>
      <c r="J680" s="10"/>
    </row>
    <row r="681" ht="14.25" customHeight="1">
      <c r="A681" s="41"/>
      <c r="B681" s="16"/>
      <c r="C681" s="10"/>
      <c r="D681" s="10"/>
      <c r="E681" s="10"/>
      <c r="F681" s="10"/>
      <c r="G681" s="10"/>
      <c r="H681" s="10"/>
      <c r="I681" s="10"/>
      <c r="J681" s="10"/>
    </row>
    <row r="682" ht="14.25" customHeight="1">
      <c r="A682" s="41"/>
      <c r="B682" s="16"/>
      <c r="C682" s="10"/>
      <c r="D682" s="10"/>
      <c r="E682" s="10"/>
      <c r="F682" s="10"/>
      <c r="G682" s="10"/>
      <c r="H682" s="10"/>
      <c r="I682" s="10"/>
      <c r="J682" s="10"/>
    </row>
    <row r="683" ht="14.25" customHeight="1">
      <c r="A683" s="41"/>
      <c r="B683" s="16"/>
      <c r="C683" s="10"/>
      <c r="D683" s="10"/>
      <c r="E683" s="10"/>
      <c r="F683" s="10"/>
      <c r="G683" s="10"/>
      <c r="H683" s="10"/>
      <c r="I683" s="10"/>
      <c r="J683" s="10"/>
    </row>
    <row r="684" ht="14.25" customHeight="1">
      <c r="A684" s="41"/>
      <c r="B684" s="16"/>
      <c r="C684" s="10"/>
      <c r="D684" s="10"/>
      <c r="E684" s="10"/>
      <c r="F684" s="10"/>
      <c r="G684" s="10"/>
      <c r="H684" s="10"/>
      <c r="I684" s="10"/>
      <c r="J684" s="10"/>
    </row>
    <row r="685" ht="14.25" customHeight="1">
      <c r="A685" s="41"/>
      <c r="B685" s="16"/>
      <c r="C685" s="10"/>
      <c r="D685" s="10"/>
      <c r="E685" s="10"/>
      <c r="F685" s="10"/>
      <c r="G685" s="10"/>
      <c r="H685" s="10"/>
      <c r="I685" s="10"/>
      <c r="J685" s="10"/>
    </row>
    <row r="686" ht="14.25" customHeight="1">
      <c r="A686" s="41"/>
      <c r="B686" s="16"/>
      <c r="C686" s="10"/>
      <c r="D686" s="10"/>
      <c r="E686" s="10"/>
      <c r="F686" s="10"/>
      <c r="G686" s="10"/>
      <c r="H686" s="10"/>
      <c r="I686" s="10"/>
      <c r="J686" s="10"/>
    </row>
    <row r="687" ht="14.25" customHeight="1">
      <c r="A687" s="41"/>
      <c r="B687" s="16"/>
      <c r="C687" s="10"/>
      <c r="D687" s="10"/>
      <c r="E687" s="10"/>
      <c r="F687" s="10"/>
      <c r="G687" s="10"/>
      <c r="H687" s="10"/>
      <c r="I687" s="10"/>
      <c r="J687" s="10"/>
    </row>
    <row r="688" ht="14.25" customHeight="1">
      <c r="A688" s="41"/>
      <c r="B688" s="16"/>
      <c r="C688" s="10"/>
      <c r="D688" s="10"/>
      <c r="E688" s="10"/>
      <c r="F688" s="10"/>
      <c r="G688" s="10"/>
      <c r="H688" s="10"/>
      <c r="I688" s="10"/>
      <c r="J688" s="10"/>
    </row>
    <row r="689" ht="14.25" customHeight="1">
      <c r="A689" s="41"/>
      <c r="B689" s="16"/>
      <c r="C689" s="10"/>
      <c r="D689" s="10"/>
      <c r="E689" s="10"/>
      <c r="F689" s="10"/>
      <c r="G689" s="10"/>
      <c r="H689" s="10"/>
      <c r="I689" s="10"/>
      <c r="J689" s="10"/>
    </row>
    <row r="690" ht="14.25" customHeight="1">
      <c r="A690" s="41"/>
      <c r="B690" s="16"/>
      <c r="C690" s="10"/>
      <c r="D690" s="10"/>
      <c r="E690" s="10"/>
      <c r="F690" s="10"/>
      <c r="G690" s="10"/>
      <c r="H690" s="10"/>
      <c r="I690" s="10"/>
      <c r="J690" s="10"/>
    </row>
    <row r="691" ht="14.25" customHeight="1">
      <c r="A691" s="41"/>
      <c r="B691" s="16"/>
      <c r="C691" s="10"/>
      <c r="D691" s="10"/>
      <c r="E691" s="10"/>
      <c r="F691" s="10"/>
      <c r="G691" s="10"/>
      <c r="H691" s="10"/>
      <c r="I691" s="10"/>
      <c r="J691" s="10"/>
    </row>
    <row r="692" ht="14.25" customHeight="1">
      <c r="A692" s="41"/>
      <c r="B692" s="16"/>
      <c r="C692" s="10"/>
      <c r="D692" s="10"/>
      <c r="E692" s="10"/>
      <c r="F692" s="10"/>
      <c r="G692" s="10"/>
      <c r="H692" s="10"/>
      <c r="I692" s="10"/>
      <c r="J692" s="10"/>
    </row>
    <row r="693" ht="14.25" customHeight="1">
      <c r="A693" s="41"/>
      <c r="B693" s="16"/>
      <c r="C693" s="10"/>
      <c r="D693" s="10"/>
      <c r="E693" s="10"/>
      <c r="F693" s="10"/>
      <c r="G693" s="10"/>
      <c r="H693" s="10"/>
      <c r="I693" s="10"/>
      <c r="J693" s="10"/>
    </row>
    <row r="694" ht="14.25" customHeight="1">
      <c r="A694" s="41"/>
      <c r="B694" s="16"/>
      <c r="C694" s="10"/>
      <c r="D694" s="10"/>
      <c r="E694" s="10"/>
      <c r="F694" s="10"/>
      <c r="G694" s="10"/>
      <c r="H694" s="10"/>
      <c r="I694" s="10"/>
      <c r="J694" s="10"/>
    </row>
    <row r="695" ht="14.25" customHeight="1">
      <c r="A695" s="41"/>
      <c r="B695" s="16"/>
      <c r="C695" s="10"/>
      <c r="D695" s="10"/>
      <c r="E695" s="10"/>
      <c r="F695" s="10"/>
      <c r="G695" s="10"/>
      <c r="H695" s="10"/>
      <c r="I695" s="10"/>
      <c r="J695" s="10"/>
    </row>
    <row r="696" ht="14.25" customHeight="1">
      <c r="A696" s="41"/>
      <c r="B696" s="16"/>
      <c r="C696" s="10"/>
      <c r="D696" s="10"/>
      <c r="E696" s="10"/>
      <c r="F696" s="10"/>
      <c r="G696" s="10"/>
      <c r="H696" s="10"/>
      <c r="I696" s="10"/>
      <c r="J696" s="10"/>
    </row>
    <row r="697" ht="14.25" customHeight="1">
      <c r="A697" s="41"/>
      <c r="B697" s="16"/>
      <c r="C697" s="10"/>
      <c r="D697" s="10"/>
      <c r="E697" s="10"/>
      <c r="F697" s="10"/>
      <c r="G697" s="10"/>
      <c r="H697" s="10"/>
      <c r="I697" s="10"/>
      <c r="J697" s="10"/>
    </row>
    <row r="698" ht="14.25" customHeight="1">
      <c r="A698" s="41"/>
      <c r="B698" s="16"/>
      <c r="C698" s="10"/>
      <c r="D698" s="10"/>
      <c r="E698" s="10"/>
      <c r="F698" s="10"/>
      <c r="G698" s="10"/>
      <c r="H698" s="10"/>
      <c r="I698" s="10"/>
      <c r="J698" s="10"/>
    </row>
    <row r="699" ht="14.25" customHeight="1">
      <c r="A699" s="41"/>
      <c r="B699" s="16"/>
      <c r="C699" s="10"/>
      <c r="D699" s="10"/>
      <c r="E699" s="10"/>
      <c r="F699" s="10"/>
      <c r="G699" s="10"/>
      <c r="H699" s="10"/>
      <c r="I699" s="10"/>
      <c r="J699" s="10"/>
    </row>
    <row r="700" ht="14.25" customHeight="1">
      <c r="A700" s="41"/>
      <c r="B700" s="16"/>
      <c r="C700" s="10"/>
      <c r="D700" s="10"/>
      <c r="E700" s="10"/>
      <c r="F700" s="10"/>
      <c r="G700" s="10"/>
      <c r="H700" s="10"/>
      <c r="I700" s="10"/>
      <c r="J700" s="10"/>
    </row>
    <row r="701" ht="14.25" customHeight="1">
      <c r="A701" s="41"/>
      <c r="B701" s="16"/>
      <c r="C701" s="10"/>
      <c r="D701" s="10"/>
      <c r="E701" s="10"/>
      <c r="F701" s="10"/>
      <c r="G701" s="10"/>
      <c r="H701" s="10"/>
      <c r="I701" s="10"/>
      <c r="J701" s="10"/>
    </row>
    <row r="702" ht="14.25" customHeight="1">
      <c r="A702" s="41"/>
      <c r="B702" s="16"/>
      <c r="C702" s="10"/>
      <c r="D702" s="10"/>
      <c r="E702" s="10"/>
      <c r="F702" s="10"/>
      <c r="G702" s="10"/>
      <c r="H702" s="10"/>
      <c r="I702" s="10"/>
      <c r="J702" s="10"/>
    </row>
    <row r="703" ht="14.25" customHeight="1">
      <c r="A703" s="41"/>
      <c r="B703" s="16"/>
      <c r="C703" s="10"/>
      <c r="D703" s="10"/>
      <c r="E703" s="10"/>
      <c r="F703" s="10"/>
      <c r="G703" s="10"/>
      <c r="H703" s="10"/>
      <c r="I703" s="10"/>
      <c r="J703" s="10"/>
    </row>
    <row r="704" ht="14.25" customHeight="1">
      <c r="A704" s="41"/>
      <c r="B704" s="16"/>
      <c r="C704" s="10"/>
      <c r="D704" s="10"/>
      <c r="E704" s="10"/>
      <c r="F704" s="10"/>
      <c r="G704" s="10"/>
      <c r="H704" s="10"/>
      <c r="I704" s="10"/>
      <c r="J704" s="10"/>
    </row>
    <row r="705" ht="14.25" customHeight="1">
      <c r="A705" s="41"/>
      <c r="B705" s="16"/>
      <c r="C705" s="10"/>
      <c r="D705" s="10"/>
      <c r="E705" s="10"/>
      <c r="F705" s="10"/>
      <c r="G705" s="10"/>
      <c r="H705" s="10"/>
      <c r="I705" s="10"/>
      <c r="J705" s="10"/>
    </row>
    <row r="706" ht="14.25" customHeight="1">
      <c r="A706" s="41"/>
      <c r="B706" s="16"/>
      <c r="C706" s="10"/>
      <c r="D706" s="10"/>
      <c r="E706" s="10"/>
      <c r="F706" s="10"/>
      <c r="G706" s="10"/>
      <c r="H706" s="10"/>
      <c r="I706" s="10"/>
      <c r="J706" s="10"/>
    </row>
    <row r="707" ht="14.25" customHeight="1">
      <c r="A707" s="41"/>
      <c r="B707" s="16"/>
      <c r="C707" s="10"/>
      <c r="D707" s="10"/>
      <c r="E707" s="10"/>
      <c r="F707" s="10"/>
      <c r="G707" s="10"/>
      <c r="H707" s="10"/>
      <c r="I707" s="10"/>
      <c r="J707" s="10"/>
    </row>
    <row r="708" ht="14.25" customHeight="1">
      <c r="A708" s="41"/>
      <c r="B708" s="16"/>
      <c r="C708" s="10"/>
      <c r="D708" s="10"/>
      <c r="E708" s="10"/>
      <c r="F708" s="10"/>
      <c r="G708" s="10"/>
      <c r="H708" s="10"/>
      <c r="I708" s="10"/>
      <c r="J708" s="10"/>
    </row>
    <row r="709" ht="14.25" customHeight="1">
      <c r="A709" s="41"/>
      <c r="B709" s="16"/>
      <c r="C709" s="10"/>
      <c r="D709" s="10"/>
      <c r="E709" s="10"/>
      <c r="F709" s="10"/>
      <c r="G709" s="10"/>
      <c r="H709" s="10"/>
      <c r="I709" s="10"/>
      <c r="J709" s="10"/>
    </row>
    <row r="710" ht="14.25" customHeight="1">
      <c r="A710" s="41"/>
      <c r="B710" s="16"/>
      <c r="C710" s="10"/>
      <c r="D710" s="10"/>
      <c r="E710" s="10"/>
      <c r="F710" s="10"/>
      <c r="G710" s="10"/>
      <c r="H710" s="10"/>
      <c r="I710" s="10"/>
      <c r="J710" s="10"/>
    </row>
    <row r="711" ht="14.25" customHeight="1">
      <c r="A711" s="41"/>
      <c r="B711" s="16"/>
      <c r="C711" s="10"/>
      <c r="D711" s="10"/>
      <c r="E711" s="10"/>
      <c r="F711" s="10"/>
      <c r="G711" s="10"/>
      <c r="H711" s="10"/>
      <c r="I711" s="10"/>
      <c r="J711" s="10"/>
    </row>
    <row r="712" ht="14.25" customHeight="1">
      <c r="A712" s="41"/>
      <c r="B712" s="16"/>
      <c r="C712" s="10"/>
      <c r="D712" s="10"/>
      <c r="E712" s="10"/>
      <c r="F712" s="10"/>
      <c r="G712" s="10"/>
      <c r="H712" s="10"/>
      <c r="I712" s="10"/>
      <c r="J712" s="10"/>
    </row>
    <row r="713" ht="14.25" customHeight="1">
      <c r="A713" s="41"/>
      <c r="B713" s="16"/>
      <c r="C713" s="10"/>
      <c r="D713" s="10"/>
      <c r="E713" s="10"/>
      <c r="F713" s="10"/>
      <c r="G713" s="10"/>
      <c r="H713" s="10"/>
      <c r="I713" s="10"/>
      <c r="J713" s="10"/>
    </row>
    <row r="714" ht="14.25" customHeight="1">
      <c r="A714" s="41"/>
      <c r="B714" s="16"/>
      <c r="C714" s="10"/>
      <c r="D714" s="10"/>
      <c r="E714" s="10"/>
      <c r="F714" s="10"/>
      <c r="G714" s="10"/>
      <c r="H714" s="10"/>
      <c r="I714" s="10"/>
      <c r="J714" s="10"/>
    </row>
    <row r="715" ht="14.25" customHeight="1">
      <c r="A715" s="41"/>
      <c r="B715" s="16"/>
      <c r="C715" s="10"/>
      <c r="D715" s="10"/>
      <c r="E715" s="10"/>
      <c r="F715" s="10"/>
      <c r="G715" s="10"/>
      <c r="H715" s="10"/>
      <c r="I715" s="10"/>
      <c r="J715" s="10"/>
    </row>
    <row r="716" ht="14.25" customHeight="1">
      <c r="A716" s="41"/>
      <c r="B716" s="16"/>
      <c r="C716" s="10"/>
      <c r="D716" s="10"/>
      <c r="E716" s="10"/>
      <c r="F716" s="10"/>
      <c r="G716" s="10"/>
      <c r="H716" s="10"/>
      <c r="I716" s="10"/>
      <c r="J716" s="10"/>
    </row>
    <row r="717" ht="14.25" customHeight="1">
      <c r="A717" s="41"/>
      <c r="B717" s="16"/>
      <c r="C717" s="10"/>
      <c r="D717" s="10"/>
      <c r="E717" s="10"/>
      <c r="F717" s="10"/>
      <c r="G717" s="10"/>
      <c r="H717" s="10"/>
      <c r="I717" s="10"/>
      <c r="J717" s="10"/>
    </row>
    <row r="718" ht="14.25" customHeight="1">
      <c r="A718" s="41"/>
      <c r="B718" s="16"/>
      <c r="C718" s="10"/>
      <c r="D718" s="10"/>
      <c r="E718" s="10"/>
      <c r="F718" s="10"/>
      <c r="G718" s="10"/>
      <c r="H718" s="10"/>
      <c r="I718" s="10"/>
      <c r="J718" s="10"/>
    </row>
    <row r="719" ht="14.25" customHeight="1">
      <c r="A719" s="41"/>
      <c r="B719" s="16"/>
      <c r="C719" s="10"/>
      <c r="D719" s="10"/>
      <c r="E719" s="10"/>
      <c r="F719" s="10"/>
      <c r="G719" s="10"/>
      <c r="H719" s="10"/>
      <c r="I719" s="10"/>
      <c r="J719" s="10"/>
    </row>
    <row r="720" ht="14.25" customHeight="1">
      <c r="A720" s="41"/>
      <c r="B720" s="16"/>
      <c r="C720" s="10"/>
      <c r="D720" s="10"/>
      <c r="E720" s="10"/>
      <c r="F720" s="10"/>
      <c r="G720" s="10"/>
      <c r="H720" s="10"/>
      <c r="I720" s="10"/>
      <c r="J720" s="10"/>
    </row>
    <row r="721" ht="14.25" customHeight="1">
      <c r="A721" s="41"/>
      <c r="B721" s="16"/>
      <c r="C721" s="10"/>
      <c r="D721" s="10"/>
      <c r="E721" s="10"/>
      <c r="F721" s="10"/>
      <c r="G721" s="10"/>
      <c r="H721" s="10"/>
      <c r="I721" s="10"/>
      <c r="J721" s="10"/>
    </row>
    <row r="722" ht="14.25" customHeight="1">
      <c r="A722" s="41"/>
      <c r="B722" s="16"/>
      <c r="C722" s="10"/>
      <c r="D722" s="10"/>
      <c r="E722" s="10"/>
      <c r="F722" s="10"/>
      <c r="G722" s="10"/>
      <c r="H722" s="10"/>
      <c r="I722" s="10"/>
      <c r="J722" s="10"/>
    </row>
    <row r="723" ht="14.25" customHeight="1">
      <c r="A723" s="41"/>
      <c r="B723" s="16"/>
      <c r="C723" s="10"/>
      <c r="D723" s="10"/>
      <c r="E723" s="10"/>
      <c r="F723" s="10"/>
      <c r="G723" s="10"/>
      <c r="H723" s="10"/>
      <c r="I723" s="10"/>
      <c r="J723" s="10"/>
    </row>
    <row r="724" ht="14.25" customHeight="1">
      <c r="A724" s="41"/>
      <c r="B724" s="16"/>
      <c r="C724" s="10"/>
      <c r="D724" s="10"/>
      <c r="E724" s="10"/>
      <c r="F724" s="10"/>
      <c r="G724" s="10"/>
      <c r="H724" s="10"/>
      <c r="I724" s="10"/>
      <c r="J724" s="10"/>
    </row>
    <row r="725" ht="14.25" customHeight="1">
      <c r="A725" s="41"/>
      <c r="B725" s="16"/>
      <c r="C725" s="10"/>
      <c r="D725" s="10"/>
      <c r="E725" s="10"/>
      <c r="F725" s="10"/>
      <c r="G725" s="10"/>
      <c r="H725" s="10"/>
      <c r="I725" s="10"/>
      <c r="J725" s="10"/>
    </row>
    <row r="726" ht="14.25" customHeight="1">
      <c r="A726" s="41"/>
      <c r="B726" s="16"/>
      <c r="C726" s="10"/>
      <c r="D726" s="10"/>
      <c r="E726" s="10"/>
      <c r="F726" s="10"/>
      <c r="G726" s="10"/>
      <c r="H726" s="10"/>
      <c r="I726" s="10"/>
      <c r="J726" s="10"/>
    </row>
    <row r="727" ht="14.25" customHeight="1">
      <c r="A727" s="41"/>
      <c r="B727" s="16"/>
      <c r="C727" s="10"/>
      <c r="D727" s="10"/>
      <c r="E727" s="10"/>
      <c r="F727" s="10"/>
      <c r="G727" s="10"/>
      <c r="H727" s="10"/>
      <c r="I727" s="10"/>
      <c r="J727" s="10"/>
    </row>
    <row r="728" ht="14.25" customHeight="1">
      <c r="A728" s="41"/>
      <c r="B728" s="16"/>
      <c r="C728" s="10"/>
      <c r="D728" s="10"/>
      <c r="E728" s="10"/>
      <c r="F728" s="10"/>
      <c r="G728" s="10"/>
      <c r="H728" s="10"/>
      <c r="I728" s="10"/>
      <c r="J728" s="10"/>
    </row>
    <row r="729" ht="14.25" customHeight="1">
      <c r="A729" s="41"/>
      <c r="B729" s="16"/>
      <c r="C729" s="10"/>
      <c r="D729" s="10"/>
      <c r="E729" s="10"/>
      <c r="F729" s="10"/>
      <c r="G729" s="10"/>
      <c r="H729" s="10"/>
      <c r="I729" s="10"/>
      <c r="J729" s="10"/>
    </row>
    <row r="730" ht="14.25" customHeight="1">
      <c r="A730" s="41"/>
      <c r="B730" s="16"/>
      <c r="C730" s="10"/>
      <c r="D730" s="10"/>
      <c r="E730" s="10"/>
      <c r="F730" s="10"/>
      <c r="G730" s="10"/>
      <c r="H730" s="10"/>
      <c r="I730" s="10"/>
      <c r="J730" s="10"/>
    </row>
    <row r="731" ht="14.25" customHeight="1">
      <c r="A731" s="41"/>
      <c r="B731" s="16"/>
      <c r="C731" s="10"/>
      <c r="D731" s="10"/>
      <c r="E731" s="10"/>
      <c r="F731" s="10"/>
      <c r="G731" s="10"/>
      <c r="H731" s="10"/>
      <c r="I731" s="10"/>
      <c r="J731" s="10"/>
    </row>
    <row r="732" ht="14.25" customHeight="1">
      <c r="A732" s="41"/>
      <c r="B732" s="16"/>
      <c r="C732" s="10"/>
      <c r="D732" s="10"/>
      <c r="E732" s="10"/>
      <c r="F732" s="10"/>
      <c r="G732" s="10"/>
      <c r="H732" s="10"/>
      <c r="I732" s="10"/>
      <c r="J732" s="10"/>
    </row>
    <row r="733" ht="14.25" customHeight="1">
      <c r="A733" s="41"/>
      <c r="B733" s="16"/>
      <c r="C733" s="10"/>
      <c r="D733" s="10"/>
      <c r="E733" s="10"/>
      <c r="F733" s="10"/>
      <c r="G733" s="10"/>
      <c r="H733" s="10"/>
      <c r="I733" s="10"/>
      <c r="J733" s="10"/>
    </row>
    <row r="734" ht="14.25" customHeight="1">
      <c r="A734" s="41"/>
      <c r="B734" s="16"/>
      <c r="C734" s="10"/>
      <c r="D734" s="10"/>
      <c r="E734" s="10"/>
      <c r="F734" s="10"/>
      <c r="G734" s="10"/>
      <c r="H734" s="10"/>
      <c r="I734" s="10"/>
      <c r="J734" s="10"/>
    </row>
    <row r="735" ht="14.25" customHeight="1">
      <c r="A735" s="41"/>
      <c r="B735" s="16"/>
      <c r="C735" s="10"/>
      <c r="D735" s="10"/>
      <c r="E735" s="10"/>
      <c r="F735" s="10"/>
      <c r="G735" s="10"/>
      <c r="H735" s="10"/>
      <c r="I735" s="10"/>
      <c r="J735" s="10"/>
    </row>
    <row r="736" ht="14.25" customHeight="1">
      <c r="A736" s="41"/>
      <c r="B736" s="16"/>
      <c r="C736" s="10"/>
      <c r="D736" s="10"/>
      <c r="E736" s="10"/>
      <c r="F736" s="10"/>
      <c r="G736" s="10"/>
      <c r="H736" s="10"/>
      <c r="I736" s="10"/>
      <c r="J736" s="10"/>
    </row>
    <row r="737" ht="14.25" customHeight="1">
      <c r="A737" s="41"/>
      <c r="B737" s="16"/>
      <c r="C737" s="10"/>
      <c r="D737" s="10"/>
      <c r="E737" s="10"/>
      <c r="F737" s="10"/>
      <c r="G737" s="10"/>
      <c r="H737" s="10"/>
      <c r="I737" s="10"/>
      <c r="J737" s="10"/>
    </row>
    <row r="738" ht="14.25" customHeight="1">
      <c r="A738" s="41"/>
      <c r="B738" s="16"/>
      <c r="C738" s="10"/>
      <c r="D738" s="10"/>
      <c r="E738" s="10"/>
      <c r="F738" s="10"/>
      <c r="G738" s="10"/>
      <c r="H738" s="10"/>
      <c r="I738" s="10"/>
      <c r="J738" s="10"/>
    </row>
    <row r="739" ht="14.25" customHeight="1">
      <c r="A739" s="41"/>
      <c r="B739" s="16"/>
      <c r="C739" s="10"/>
      <c r="D739" s="10"/>
      <c r="E739" s="10"/>
      <c r="F739" s="10"/>
      <c r="G739" s="10"/>
      <c r="H739" s="10"/>
      <c r="I739" s="10"/>
      <c r="J739" s="10"/>
    </row>
    <row r="740" ht="14.25" customHeight="1">
      <c r="A740" s="41"/>
      <c r="B740" s="16"/>
      <c r="C740" s="10"/>
      <c r="D740" s="10"/>
      <c r="E740" s="10"/>
      <c r="F740" s="10"/>
      <c r="G740" s="10"/>
      <c r="H740" s="10"/>
      <c r="I740" s="10"/>
      <c r="J740" s="10"/>
    </row>
    <row r="741" ht="14.25" customHeight="1">
      <c r="A741" s="41"/>
      <c r="B741" s="16"/>
      <c r="C741" s="10"/>
      <c r="D741" s="10"/>
      <c r="E741" s="10"/>
      <c r="F741" s="10"/>
      <c r="G741" s="10"/>
      <c r="H741" s="10"/>
      <c r="I741" s="10"/>
      <c r="J741" s="10"/>
    </row>
    <row r="742" ht="14.25" customHeight="1">
      <c r="A742" s="41"/>
      <c r="B742" s="16"/>
      <c r="C742" s="10"/>
      <c r="D742" s="10"/>
      <c r="E742" s="10"/>
      <c r="F742" s="10"/>
      <c r="G742" s="10"/>
      <c r="H742" s="10"/>
      <c r="I742" s="10"/>
      <c r="J742" s="10"/>
    </row>
    <row r="743" ht="14.25" customHeight="1">
      <c r="A743" s="41"/>
      <c r="B743" s="16"/>
      <c r="C743" s="10"/>
      <c r="D743" s="10"/>
      <c r="E743" s="10"/>
      <c r="F743" s="10"/>
      <c r="G743" s="10"/>
      <c r="H743" s="10"/>
      <c r="I743" s="10"/>
      <c r="J743" s="10"/>
    </row>
    <row r="744" ht="14.25" customHeight="1">
      <c r="A744" s="41"/>
      <c r="B744" s="16"/>
      <c r="C744" s="10"/>
      <c r="D744" s="10"/>
      <c r="E744" s="10"/>
      <c r="F744" s="10"/>
      <c r="G744" s="10"/>
      <c r="H744" s="10"/>
      <c r="I744" s="10"/>
      <c r="J744" s="10"/>
    </row>
    <row r="745" ht="14.25" customHeight="1">
      <c r="A745" s="41"/>
      <c r="B745" s="16"/>
      <c r="C745" s="10"/>
      <c r="D745" s="10"/>
      <c r="E745" s="10"/>
      <c r="F745" s="10"/>
      <c r="G745" s="10"/>
      <c r="H745" s="10"/>
      <c r="I745" s="10"/>
      <c r="J745" s="10"/>
    </row>
    <row r="746" ht="14.25" customHeight="1">
      <c r="A746" s="41"/>
      <c r="B746" s="16"/>
      <c r="C746" s="10"/>
      <c r="D746" s="10"/>
      <c r="E746" s="10"/>
      <c r="F746" s="10"/>
      <c r="G746" s="10"/>
      <c r="H746" s="10"/>
      <c r="I746" s="10"/>
      <c r="J746" s="10"/>
    </row>
    <row r="747" ht="14.25" customHeight="1">
      <c r="A747" s="41"/>
      <c r="B747" s="16"/>
      <c r="C747" s="10"/>
      <c r="D747" s="10"/>
      <c r="E747" s="10"/>
      <c r="F747" s="10"/>
      <c r="G747" s="10"/>
      <c r="H747" s="10"/>
      <c r="I747" s="10"/>
      <c r="J747" s="10"/>
    </row>
    <row r="748" ht="14.25" customHeight="1">
      <c r="A748" s="41"/>
      <c r="B748" s="16"/>
      <c r="C748" s="10"/>
      <c r="D748" s="10"/>
      <c r="E748" s="10"/>
      <c r="F748" s="10"/>
      <c r="G748" s="10"/>
      <c r="H748" s="10"/>
      <c r="I748" s="10"/>
      <c r="J748" s="10"/>
    </row>
    <row r="749" ht="14.25" customHeight="1">
      <c r="A749" s="41"/>
      <c r="B749" s="16"/>
      <c r="C749" s="10"/>
      <c r="D749" s="10"/>
      <c r="E749" s="10"/>
      <c r="F749" s="10"/>
      <c r="G749" s="10"/>
      <c r="H749" s="10"/>
      <c r="I749" s="10"/>
      <c r="J749" s="10"/>
    </row>
    <row r="750" ht="14.25" customHeight="1">
      <c r="A750" s="41"/>
      <c r="B750" s="16"/>
      <c r="C750" s="10"/>
      <c r="D750" s="10"/>
      <c r="E750" s="10"/>
      <c r="F750" s="10"/>
      <c r="G750" s="10"/>
      <c r="H750" s="10"/>
      <c r="I750" s="10"/>
      <c r="J750" s="10"/>
    </row>
    <row r="751" ht="14.25" customHeight="1">
      <c r="A751" s="41"/>
      <c r="B751" s="16"/>
      <c r="C751" s="10"/>
      <c r="D751" s="10"/>
      <c r="E751" s="10"/>
      <c r="F751" s="10"/>
      <c r="G751" s="10"/>
      <c r="H751" s="10"/>
      <c r="I751" s="10"/>
      <c r="J751" s="10"/>
    </row>
    <row r="752" ht="14.25" customHeight="1">
      <c r="A752" s="41"/>
      <c r="B752" s="16"/>
      <c r="C752" s="10"/>
      <c r="D752" s="10"/>
      <c r="E752" s="10"/>
      <c r="F752" s="10"/>
      <c r="G752" s="10"/>
      <c r="H752" s="10"/>
      <c r="I752" s="10"/>
      <c r="J752" s="10"/>
    </row>
    <row r="753" ht="14.25" customHeight="1">
      <c r="A753" s="41"/>
      <c r="B753" s="16"/>
      <c r="C753" s="10"/>
      <c r="D753" s="10"/>
      <c r="E753" s="10"/>
      <c r="F753" s="10"/>
      <c r="G753" s="10"/>
      <c r="H753" s="10"/>
      <c r="I753" s="10"/>
      <c r="J753" s="10"/>
    </row>
    <row r="754" ht="14.25" customHeight="1">
      <c r="A754" s="41"/>
      <c r="B754" s="16"/>
      <c r="C754" s="10"/>
      <c r="D754" s="10"/>
      <c r="E754" s="10"/>
      <c r="F754" s="10"/>
      <c r="G754" s="10"/>
      <c r="H754" s="10"/>
      <c r="I754" s="10"/>
      <c r="J754" s="10"/>
    </row>
    <row r="755" ht="14.25" customHeight="1">
      <c r="A755" s="41"/>
      <c r="B755" s="16"/>
      <c r="C755" s="10"/>
      <c r="D755" s="10"/>
      <c r="E755" s="10"/>
      <c r="F755" s="10"/>
      <c r="G755" s="10"/>
      <c r="H755" s="10"/>
      <c r="I755" s="10"/>
      <c r="J755" s="10"/>
    </row>
    <row r="756" ht="14.25" customHeight="1">
      <c r="A756" s="41"/>
      <c r="B756" s="16"/>
      <c r="C756" s="10"/>
      <c r="D756" s="10"/>
      <c r="E756" s="10"/>
      <c r="F756" s="10"/>
      <c r="G756" s="10"/>
      <c r="H756" s="10"/>
      <c r="I756" s="10"/>
      <c r="J756" s="10"/>
    </row>
    <row r="757" ht="14.25" customHeight="1">
      <c r="A757" s="41"/>
      <c r="B757" s="16"/>
      <c r="C757" s="10"/>
      <c r="D757" s="10"/>
      <c r="E757" s="10"/>
      <c r="F757" s="10"/>
      <c r="G757" s="10"/>
      <c r="H757" s="10"/>
      <c r="I757" s="10"/>
      <c r="J757" s="10"/>
    </row>
    <row r="758" ht="14.25" customHeight="1">
      <c r="A758" s="41"/>
      <c r="B758" s="16"/>
      <c r="C758" s="10"/>
      <c r="D758" s="10"/>
      <c r="E758" s="10"/>
      <c r="F758" s="10"/>
      <c r="G758" s="10"/>
      <c r="H758" s="10"/>
      <c r="I758" s="10"/>
      <c r="J758" s="10"/>
    </row>
    <row r="759" ht="14.25" customHeight="1">
      <c r="A759" s="41"/>
      <c r="B759" s="16"/>
      <c r="C759" s="10"/>
      <c r="D759" s="10"/>
      <c r="E759" s="10"/>
      <c r="F759" s="10"/>
      <c r="G759" s="10"/>
      <c r="H759" s="10"/>
      <c r="I759" s="10"/>
      <c r="J759" s="10"/>
    </row>
    <row r="760" ht="14.25" customHeight="1">
      <c r="A760" s="41"/>
      <c r="B760" s="16"/>
      <c r="C760" s="10"/>
      <c r="D760" s="10"/>
      <c r="E760" s="10"/>
      <c r="F760" s="10"/>
      <c r="G760" s="10"/>
      <c r="H760" s="10"/>
      <c r="I760" s="10"/>
      <c r="J760" s="10"/>
    </row>
    <row r="761" ht="14.25" customHeight="1">
      <c r="A761" s="41"/>
      <c r="B761" s="16"/>
      <c r="C761" s="10"/>
      <c r="D761" s="10"/>
      <c r="E761" s="10"/>
      <c r="F761" s="10"/>
      <c r="G761" s="10"/>
      <c r="H761" s="10"/>
      <c r="I761" s="10"/>
      <c r="J761" s="10"/>
    </row>
    <row r="762" ht="14.25" customHeight="1">
      <c r="A762" s="41"/>
      <c r="B762" s="16"/>
      <c r="C762" s="10"/>
      <c r="D762" s="10"/>
      <c r="E762" s="10"/>
      <c r="F762" s="10"/>
      <c r="G762" s="10"/>
      <c r="H762" s="10"/>
      <c r="I762" s="10"/>
      <c r="J762" s="10"/>
    </row>
    <row r="763" ht="14.25" customHeight="1">
      <c r="A763" s="41"/>
      <c r="B763" s="16"/>
      <c r="C763" s="10"/>
      <c r="D763" s="10"/>
      <c r="E763" s="10"/>
      <c r="F763" s="10"/>
      <c r="G763" s="10"/>
      <c r="H763" s="10"/>
      <c r="I763" s="10"/>
      <c r="J763" s="10"/>
    </row>
    <row r="764" ht="14.25" customHeight="1">
      <c r="A764" s="41"/>
      <c r="B764" s="16"/>
      <c r="C764" s="10"/>
      <c r="D764" s="10"/>
      <c r="E764" s="10"/>
      <c r="F764" s="10"/>
      <c r="G764" s="10"/>
      <c r="H764" s="10"/>
      <c r="I764" s="10"/>
      <c r="J764" s="10"/>
    </row>
    <row r="765" ht="14.25" customHeight="1">
      <c r="A765" s="41"/>
      <c r="B765" s="16"/>
      <c r="C765" s="10"/>
      <c r="D765" s="10"/>
      <c r="E765" s="10"/>
      <c r="F765" s="10"/>
      <c r="G765" s="10"/>
      <c r="H765" s="10"/>
      <c r="I765" s="10"/>
      <c r="J765" s="10"/>
    </row>
    <row r="766" ht="14.25" customHeight="1">
      <c r="A766" s="41"/>
      <c r="B766" s="16"/>
      <c r="C766" s="10"/>
      <c r="D766" s="10"/>
      <c r="E766" s="10"/>
      <c r="F766" s="10"/>
      <c r="G766" s="10"/>
      <c r="H766" s="10"/>
      <c r="I766" s="10"/>
      <c r="J766" s="10"/>
    </row>
    <row r="767" ht="14.25" customHeight="1">
      <c r="A767" s="41"/>
      <c r="B767" s="16"/>
      <c r="C767" s="10"/>
      <c r="D767" s="10"/>
      <c r="E767" s="10"/>
      <c r="F767" s="10"/>
      <c r="G767" s="10"/>
      <c r="H767" s="10"/>
      <c r="I767" s="10"/>
      <c r="J767" s="10"/>
    </row>
    <row r="768" ht="14.25" customHeight="1">
      <c r="A768" s="41"/>
      <c r="B768" s="16"/>
      <c r="C768" s="10"/>
      <c r="D768" s="10"/>
      <c r="E768" s="10"/>
      <c r="F768" s="10"/>
      <c r="G768" s="10"/>
      <c r="H768" s="10"/>
      <c r="I768" s="10"/>
      <c r="J768" s="10"/>
    </row>
    <row r="769" ht="14.25" customHeight="1">
      <c r="A769" s="41"/>
      <c r="B769" s="16"/>
      <c r="C769" s="10"/>
      <c r="D769" s="10"/>
      <c r="E769" s="10"/>
      <c r="F769" s="10"/>
      <c r="G769" s="10"/>
      <c r="H769" s="10"/>
      <c r="I769" s="10"/>
      <c r="J769" s="10"/>
    </row>
    <row r="770" ht="14.25" customHeight="1">
      <c r="A770" s="41"/>
      <c r="B770" s="16"/>
      <c r="C770" s="10"/>
      <c r="D770" s="10"/>
      <c r="E770" s="10"/>
      <c r="F770" s="10"/>
      <c r="G770" s="10"/>
      <c r="H770" s="10"/>
      <c r="I770" s="10"/>
      <c r="J770" s="10"/>
    </row>
    <row r="771" ht="14.25" customHeight="1">
      <c r="A771" s="41"/>
      <c r="B771" s="16"/>
      <c r="C771" s="10"/>
      <c r="D771" s="10"/>
      <c r="E771" s="10"/>
      <c r="F771" s="10"/>
      <c r="G771" s="10"/>
      <c r="H771" s="10"/>
      <c r="I771" s="10"/>
      <c r="J771" s="10"/>
    </row>
    <row r="772" ht="14.25" customHeight="1">
      <c r="A772" s="41"/>
      <c r="B772" s="16"/>
      <c r="C772" s="10"/>
      <c r="D772" s="10"/>
      <c r="E772" s="10"/>
      <c r="F772" s="10"/>
      <c r="G772" s="10"/>
      <c r="H772" s="10"/>
      <c r="I772" s="10"/>
      <c r="J772" s="10"/>
    </row>
    <row r="773" ht="14.25" customHeight="1">
      <c r="A773" s="41"/>
      <c r="B773" s="16"/>
      <c r="C773" s="10"/>
      <c r="D773" s="10"/>
      <c r="E773" s="10"/>
      <c r="F773" s="10"/>
      <c r="G773" s="10"/>
      <c r="H773" s="10"/>
      <c r="I773" s="10"/>
      <c r="J773" s="10"/>
    </row>
    <row r="774" ht="14.25" customHeight="1">
      <c r="A774" s="41"/>
      <c r="B774" s="16"/>
      <c r="C774" s="10"/>
      <c r="D774" s="10"/>
      <c r="E774" s="10"/>
      <c r="F774" s="10"/>
      <c r="G774" s="10"/>
      <c r="H774" s="10"/>
      <c r="I774" s="10"/>
      <c r="J774" s="10"/>
    </row>
    <row r="775" ht="14.25" customHeight="1">
      <c r="A775" s="41"/>
      <c r="B775" s="16"/>
      <c r="C775" s="10"/>
      <c r="D775" s="10"/>
      <c r="E775" s="10"/>
      <c r="F775" s="10"/>
      <c r="G775" s="10"/>
      <c r="H775" s="10"/>
      <c r="I775" s="10"/>
      <c r="J775" s="10"/>
    </row>
    <row r="776" ht="14.25" customHeight="1">
      <c r="A776" s="41"/>
      <c r="B776" s="16"/>
      <c r="C776" s="10"/>
      <c r="D776" s="10"/>
      <c r="E776" s="10"/>
      <c r="F776" s="10"/>
      <c r="G776" s="10"/>
      <c r="H776" s="10"/>
      <c r="I776" s="10"/>
      <c r="J776" s="10"/>
    </row>
    <row r="777" ht="14.25" customHeight="1">
      <c r="A777" s="41"/>
      <c r="B777" s="16"/>
      <c r="C777" s="10"/>
      <c r="D777" s="10"/>
      <c r="E777" s="10"/>
      <c r="F777" s="10"/>
      <c r="G777" s="10"/>
      <c r="H777" s="10"/>
      <c r="I777" s="10"/>
      <c r="J777" s="10"/>
    </row>
    <row r="778" ht="14.25" customHeight="1">
      <c r="A778" s="41"/>
      <c r="B778" s="16"/>
      <c r="C778" s="10"/>
      <c r="D778" s="10"/>
      <c r="E778" s="10"/>
      <c r="F778" s="10"/>
      <c r="G778" s="10"/>
      <c r="H778" s="10"/>
      <c r="I778" s="10"/>
      <c r="J778" s="10"/>
    </row>
    <row r="779" ht="14.25" customHeight="1">
      <c r="A779" s="41"/>
      <c r="B779" s="16"/>
      <c r="C779" s="10"/>
      <c r="D779" s="10"/>
      <c r="E779" s="10"/>
      <c r="F779" s="10"/>
      <c r="G779" s="10"/>
      <c r="H779" s="10"/>
      <c r="I779" s="10"/>
      <c r="J779" s="10"/>
    </row>
    <row r="780" ht="14.25" customHeight="1">
      <c r="A780" s="41"/>
      <c r="B780" s="16"/>
      <c r="C780" s="10"/>
      <c r="D780" s="10"/>
      <c r="E780" s="10"/>
      <c r="F780" s="10"/>
      <c r="G780" s="10"/>
      <c r="H780" s="10"/>
      <c r="I780" s="10"/>
      <c r="J780" s="10"/>
    </row>
    <row r="781" ht="14.25" customHeight="1">
      <c r="A781" s="41"/>
      <c r="B781" s="16"/>
      <c r="C781" s="10"/>
      <c r="D781" s="10"/>
      <c r="E781" s="10"/>
      <c r="F781" s="10"/>
      <c r="G781" s="10"/>
      <c r="H781" s="10"/>
      <c r="I781" s="10"/>
      <c r="J781" s="10"/>
    </row>
    <row r="782" ht="14.25" customHeight="1">
      <c r="A782" s="41"/>
      <c r="B782" s="16"/>
      <c r="C782" s="10"/>
      <c r="D782" s="10"/>
      <c r="E782" s="10"/>
      <c r="F782" s="10"/>
      <c r="G782" s="10"/>
      <c r="H782" s="10"/>
      <c r="I782" s="10"/>
      <c r="J782" s="10"/>
    </row>
    <row r="783" ht="14.25" customHeight="1">
      <c r="A783" s="41"/>
      <c r="B783" s="16"/>
      <c r="C783" s="10"/>
      <c r="D783" s="10"/>
      <c r="E783" s="10"/>
      <c r="F783" s="10"/>
      <c r="G783" s="10"/>
      <c r="H783" s="10"/>
      <c r="I783" s="10"/>
      <c r="J783" s="10"/>
    </row>
    <row r="784" ht="14.25" customHeight="1">
      <c r="A784" s="41"/>
      <c r="B784" s="16"/>
      <c r="C784" s="10"/>
      <c r="D784" s="10"/>
      <c r="E784" s="10"/>
      <c r="F784" s="10"/>
      <c r="G784" s="10"/>
      <c r="H784" s="10"/>
      <c r="I784" s="10"/>
      <c r="J784" s="10"/>
    </row>
    <row r="785" ht="14.25" customHeight="1">
      <c r="A785" s="41"/>
      <c r="B785" s="16"/>
      <c r="C785" s="10"/>
      <c r="D785" s="10"/>
      <c r="E785" s="10"/>
      <c r="F785" s="10"/>
      <c r="G785" s="10"/>
      <c r="H785" s="10"/>
      <c r="I785" s="10"/>
      <c r="J785" s="10"/>
    </row>
    <row r="786" ht="14.25" customHeight="1">
      <c r="A786" s="41"/>
      <c r="B786" s="16"/>
      <c r="C786" s="10"/>
      <c r="D786" s="10"/>
      <c r="E786" s="10"/>
      <c r="F786" s="10"/>
      <c r="G786" s="10"/>
      <c r="H786" s="10"/>
      <c r="I786" s="10"/>
      <c r="J786" s="10"/>
    </row>
    <row r="787" ht="14.25" customHeight="1">
      <c r="A787" s="41"/>
      <c r="B787" s="16"/>
      <c r="C787" s="10"/>
      <c r="D787" s="10"/>
      <c r="E787" s="10"/>
      <c r="F787" s="10"/>
      <c r="G787" s="10"/>
      <c r="H787" s="10"/>
      <c r="I787" s="10"/>
      <c r="J787" s="10"/>
    </row>
    <row r="788" ht="14.25" customHeight="1">
      <c r="A788" s="41"/>
      <c r="B788" s="16"/>
      <c r="C788" s="10"/>
      <c r="D788" s="10"/>
      <c r="E788" s="10"/>
      <c r="F788" s="10"/>
      <c r="G788" s="10"/>
      <c r="H788" s="10"/>
      <c r="I788" s="10"/>
      <c r="J788" s="10"/>
    </row>
    <row r="789" ht="14.25" customHeight="1">
      <c r="A789" s="41"/>
      <c r="B789" s="16"/>
      <c r="C789" s="10"/>
      <c r="D789" s="10"/>
      <c r="E789" s="10"/>
      <c r="F789" s="10"/>
      <c r="G789" s="10"/>
      <c r="H789" s="10"/>
      <c r="I789" s="10"/>
      <c r="J789" s="10"/>
    </row>
    <row r="790" ht="14.25" customHeight="1">
      <c r="A790" s="41"/>
      <c r="B790" s="16"/>
      <c r="C790" s="10"/>
      <c r="D790" s="10"/>
      <c r="E790" s="10"/>
      <c r="F790" s="10"/>
      <c r="G790" s="10"/>
      <c r="H790" s="10"/>
      <c r="I790" s="10"/>
      <c r="J790" s="10"/>
    </row>
    <row r="791" ht="14.25" customHeight="1">
      <c r="A791" s="41"/>
      <c r="B791" s="16"/>
      <c r="C791" s="10"/>
      <c r="D791" s="10"/>
      <c r="E791" s="10"/>
      <c r="F791" s="10"/>
      <c r="G791" s="10"/>
      <c r="H791" s="10"/>
      <c r="I791" s="10"/>
      <c r="J791" s="10"/>
    </row>
    <row r="792" ht="14.25" customHeight="1">
      <c r="A792" s="41"/>
      <c r="B792" s="16"/>
      <c r="C792" s="10"/>
      <c r="D792" s="10"/>
      <c r="E792" s="10"/>
      <c r="F792" s="10"/>
      <c r="G792" s="10"/>
      <c r="H792" s="10"/>
      <c r="I792" s="10"/>
      <c r="J792" s="10"/>
    </row>
    <row r="793" ht="14.25" customHeight="1">
      <c r="A793" s="41"/>
      <c r="B793" s="16"/>
      <c r="C793" s="10"/>
      <c r="D793" s="10"/>
      <c r="E793" s="10"/>
      <c r="F793" s="10"/>
      <c r="G793" s="10"/>
      <c r="H793" s="10"/>
      <c r="I793" s="10"/>
      <c r="J793" s="10"/>
    </row>
    <row r="794" ht="14.25" customHeight="1">
      <c r="A794" s="41"/>
      <c r="B794" s="16"/>
      <c r="C794" s="10"/>
      <c r="D794" s="10"/>
      <c r="E794" s="10"/>
      <c r="F794" s="10"/>
      <c r="G794" s="10"/>
      <c r="H794" s="10"/>
      <c r="I794" s="10"/>
      <c r="J794" s="10"/>
    </row>
    <row r="795" ht="14.25" customHeight="1">
      <c r="A795" s="41"/>
      <c r="B795" s="16"/>
      <c r="C795" s="10"/>
      <c r="D795" s="10"/>
      <c r="E795" s="10"/>
      <c r="F795" s="10"/>
      <c r="G795" s="10"/>
      <c r="H795" s="10"/>
      <c r="I795" s="10"/>
      <c r="J795" s="10"/>
    </row>
    <row r="796" ht="14.25" customHeight="1">
      <c r="A796" s="41"/>
      <c r="B796" s="16"/>
      <c r="C796" s="10"/>
      <c r="D796" s="10"/>
      <c r="E796" s="10"/>
      <c r="F796" s="10"/>
      <c r="G796" s="10"/>
      <c r="H796" s="10"/>
      <c r="I796" s="10"/>
      <c r="J796" s="10"/>
    </row>
    <row r="797" ht="14.25" customHeight="1">
      <c r="A797" s="41"/>
      <c r="B797" s="16"/>
      <c r="C797" s="10"/>
      <c r="D797" s="10"/>
      <c r="E797" s="10"/>
      <c r="F797" s="10"/>
      <c r="G797" s="10"/>
      <c r="H797" s="10"/>
      <c r="I797" s="10"/>
      <c r="J797" s="10"/>
    </row>
    <row r="798" ht="14.25" customHeight="1">
      <c r="A798" s="41"/>
      <c r="B798" s="16"/>
      <c r="C798" s="10"/>
      <c r="D798" s="10"/>
      <c r="E798" s="10"/>
      <c r="F798" s="10"/>
      <c r="G798" s="10"/>
      <c r="H798" s="10"/>
      <c r="I798" s="10"/>
      <c r="J798" s="10"/>
    </row>
    <row r="799" ht="14.25" customHeight="1">
      <c r="A799" s="41"/>
      <c r="B799" s="16"/>
      <c r="C799" s="10"/>
      <c r="D799" s="10"/>
      <c r="E799" s="10"/>
      <c r="F799" s="10"/>
      <c r="G799" s="10"/>
      <c r="H799" s="10"/>
      <c r="I799" s="10"/>
      <c r="J799" s="10"/>
    </row>
    <row r="800" ht="14.25" customHeight="1">
      <c r="A800" s="41"/>
      <c r="B800" s="16"/>
      <c r="C800" s="10"/>
      <c r="D800" s="10"/>
      <c r="E800" s="10"/>
      <c r="F800" s="10"/>
      <c r="G800" s="10"/>
      <c r="H800" s="10"/>
      <c r="I800" s="10"/>
      <c r="J800" s="10"/>
    </row>
    <row r="801" ht="14.25" customHeight="1">
      <c r="A801" s="41"/>
      <c r="B801" s="16"/>
      <c r="C801" s="10"/>
      <c r="D801" s="10"/>
      <c r="E801" s="10"/>
      <c r="F801" s="10"/>
      <c r="G801" s="10"/>
      <c r="H801" s="10"/>
      <c r="I801" s="10"/>
      <c r="J801" s="10"/>
    </row>
    <row r="802" ht="14.25" customHeight="1">
      <c r="A802" s="41"/>
      <c r="B802" s="16"/>
      <c r="C802" s="10"/>
      <c r="D802" s="10"/>
      <c r="E802" s="10"/>
      <c r="F802" s="10"/>
      <c r="G802" s="10"/>
      <c r="H802" s="10"/>
      <c r="I802" s="10"/>
      <c r="J802" s="10"/>
    </row>
    <row r="803" ht="14.25" customHeight="1">
      <c r="A803" s="41"/>
      <c r="B803" s="16"/>
      <c r="C803" s="10"/>
      <c r="D803" s="10"/>
      <c r="E803" s="10"/>
      <c r="F803" s="10"/>
      <c r="G803" s="10"/>
      <c r="H803" s="10"/>
      <c r="I803" s="10"/>
      <c r="J803" s="10"/>
    </row>
    <row r="804" ht="14.25" customHeight="1">
      <c r="A804" s="41"/>
      <c r="B804" s="16"/>
      <c r="C804" s="10"/>
      <c r="D804" s="10"/>
      <c r="E804" s="10"/>
      <c r="F804" s="10"/>
      <c r="G804" s="10"/>
      <c r="H804" s="10"/>
      <c r="I804" s="10"/>
      <c r="J804" s="10"/>
    </row>
    <row r="805" ht="14.25" customHeight="1">
      <c r="A805" s="41"/>
      <c r="B805" s="16"/>
      <c r="C805" s="10"/>
      <c r="D805" s="10"/>
      <c r="E805" s="10"/>
      <c r="F805" s="10"/>
      <c r="G805" s="10"/>
      <c r="H805" s="10"/>
      <c r="I805" s="10"/>
      <c r="J805" s="10"/>
    </row>
    <row r="806" ht="14.25" customHeight="1">
      <c r="A806" s="41"/>
      <c r="B806" s="16"/>
      <c r="C806" s="10"/>
      <c r="D806" s="10"/>
      <c r="E806" s="10"/>
      <c r="F806" s="10"/>
      <c r="G806" s="10"/>
      <c r="H806" s="10"/>
      <c r="I806" s="10"/>
      <c r="J806" s="10"/>
    </row>
    <row r="807" ht="14.25" customHeight="1">
      <c r="A807" s="41"/>
      <c r="B807" s="16"/>
      <c r="C807" s="10"/>
      <c r="D807" s="10"/>
      <c r="E807" s="10"/>
      <c r="F807" s="10"/>
      <c r="G807" s="10"/>
      <c r="H807" s="10"/>
      <c r="I807" s="10"/>
      <c r="J807" s="10"/>
    </row>
    <row r="808" ht="14.25" customHeight="1">
      <c r="A808" s="41"/>
      <c r="B808" s="16"/>
      <c r="C808" s="10"/>
      <c r="D808" s="10"/>
      <c r="E808" s="10"/>
      <c r="F808" s="10"/>
      <c r="G808" s="10"/>
      <c r="H808" s="10"/>
      <c r="I808" s="10"/>
      <c r="J808" s="10"/>
    </row>
    <row r="809" ht="14.25" customHeight="1">
      <c r="A809" s="41"/>
      <c r="B809" s="16"/>
      <c r="C809" s="10"/>
      <c r="D809" s="10"/>
      <c r="E809" s="10"/>
      <c r="F809" s="10"/>
      <c r="G809" s="10"/>
      <c r="H809" s="10"/>
      <c r="I809" s="10"/>
      <c r="J809" s="10"/>
    </row>
    <row r="810" ht="14.25" customHeight="1">
      <c r="A810" s="41"/>
      <c r="B810" s="16"/>
      <c r="C810" s="10"/>
      <c r="D810" s="10"/>
      <c r="E810" s="10"/>
      <c r="F810" s="10"/>
      <c r="G810" s="10"/>
      <c r="H810" s="10"/>
      <c r="I810" s="10"/>
      <c r="J810" s="10"/>
    </row>
    <row r="811" ht="14.25" customHeight="1">
      <c r="A811" s="41"/>
      <c r="B811" s="16"/>
      <c r="C811" s="10"/>
      <c r="D811" s="10"/>
      <c r="E811" s="10"/>
      <c r="F811" s="10"/>
      <c r="G811" s="10"/>
      <c r="H811" s="10"/>
      <c r="I811" s="10"/>
      <c r="J811" s="10"/>
    </row>
    <row r="812" ht="14.25" customHeight="1">
      <c r="A812" s="41"/>
      <c r="B812" s="16"/>
      <c r="C812" s="10"/>
      <c r="D812" s="10"/>
      <c r="E812" s="10"/>
      <c r="F812" s="10"/>
      <c r="G812" s="10"/>
      <c r="H812" s="10"/>
      <c r="I812" s="10"/>
      <c r="J812" s="10"/>
    </row>
    <row r="813" ht="14.25" customHeight="1">
      <c r="A813" s="41"/>
      <c r="B813" s="16"/>
      <c r="C813" s="10"/>
      <c r="D813" s="10"/>
      <c r="E813" s="10"/>
      <c r="F813" s="10"/>
      <c r="G813" s="10"/>
      <c r="H813" s="10"/>
      <c r="I813" s="10"/>
      <c r="J813" s="10"/>
    </row>
    <row r="814" ht="14.25" customHeight="1">
      <c r="A814" s="41"/>
      <c r="B814" s="16"/>
      <c r="C814" s="10"/>
      <c r="D814" s="10"/>
      <c r="E814" s="10"/>
      <c r="F814" s="10"/>
      <c r="G814" s="10"/>
      <c r="H814" s="10"/>
      <c r="I814" s="10"/>
      <c r="J814" s="10"/>
    </row>
    <row r="815" ht="14.25" customHeight="1">
      <c r="A815" s="41"/>
      <c r="B815" s="16"/>
      <c r="C815" s="10"/>
      <c r="D815" s="10"/>
      <c r="E815" s="10"/>
      <c r="F815" s="10"/>
      <c r="G815" s="10"/>
      <c r="H815" s="10"/>
      <c r="I815" s="10"/>
      <c r="J815" s="10"/>
    </row>
    <row r="816" ht="14.25" customHeight="1">
      <c r="A816" s="41"/>
      <c r="B816" s="16"/>
      <c r="C816" s="10"/>
      <c r="D816" s="10"/>
      <c r="E816" s="10"/>
      <c r="F816" s="10"/>
      <c r="G816" s="10"/>
      <c r="H816" s="10"/>
      <c r="I816" s="10"/>
      <c r="J816" s="10"/>
    </row>
    <row r="817" ht="14.25" customHeight="1">
      <c r="A817" s="41"/>
      <c r="B817" s="16"/>
      <c r="C817" s="10"/>
      <c r="D817" s="10"/>
      <c r="E817" s="10"/>
      <c r="F817" s="10"/>
      <c r="G817" s="10"/>
      <c r="H817" s="10"/>
      <c r="I817" s="10"/>
      <c r="J817" s="10"/>
    </row>
    <row r="818" ht="14.25" customHeight="1">
      <c r="A818" s="41"/>
      <c r="B818" s="16"/>
      <c r="C818" s="10"/>
      <c r="D818" s="10"/>
      <c r="E818" s="10"/>
      <c r="F818" s="10"/>
      <c r="G818" s="10"/>
      <c r="H818" s="10"/>
      <c r="I818" s="10"/>
      <c r="J818" s="10"/>
    </row>
    <row r="819" ht="14.25" customHeight="1">
      <c r="A819" s="41"/>
      <c r="B819" s="16"/>
      <c r="C819" s="10"/>
      <c r="D819" s="10"/>
      <c r="E819" s="10"/>
      <c r="F819" s="10"/>
      <c r="G819" s="10"/>
      <c r="H819" s="10"/>
      <c r="I819" s="10"/>
      <c r="J819" s="10"/>
    </row>
    <row r="820" ht="14.25" customHeight="1">
      <c r="A820" s="41"/>
      <c r="B820" s="16"/>
      <c r="C820" s="10"/>
      <c r="D820" s="10"/>
      <c r="E820" s="10"/>
      <c r="F820" s="10"/>
      <c r="G820" s="10"/>
      <c r="H820" s="10"/>
      <c r="I820" s="10"/>
      <c r="J820" s="10"/>
    </row>
    <row r="821" ht="14.25" customHeight="1">
      <c r="A821" s="41"/>
      <c r="B821" s="16"/>
      <c r="C821" s="10"/>
      <c r="D821" s="10"/>
      <c r="E821" s="10"/>
      <c r="F821" s="10"/>
      <c r="G821" s="10"/>
      <c r="H821" s="10"/>
      <c r="I821" s="10"/>
      <c r="J821" s="10"/>
    </row>
    <row r="822" ht="14.25" customHeight="1">
      <c r="A822" s="41"/>
      <c r="B822" s="16"/>
      <c r="C822" s="10"/>
      <c r="D822" s="10"/>
      <c r="E822" s="10"/>
      <c r="F822" s="10"/>
      <c r="G822" s="10"/>
      <c r="H822" s="10"/>
      <c r="I822" s="10"/>
      <c r="J822" s="10"/>
    </row>
    <row r="823" ht="14.25" customHeight="1">
      <c r="A823" s="41"/>
      <c r="B823" s="16"/>
      <c r="C823" s="10"/>
      <c r="D823" s="10"/>
      <c r="E823" s="10"/>
      <c r="F823" s="10"/>
      <c r="G823" s="10"/>
      <c r="H823" s="10"/>
      <c r="I823" s="10"/>
      <c r="J823" s="10"/>
    </row>
    <row r="824" ht="14.25" customHeight="1">
      <c r="A824" s="41"/>
      <c r="B824" s="16"/>
      <c r="C824" s="10"/>
      <c r="D824" s="10"/>
      <c r="E824" s="10"/>
      <c r="F824" s="10"/>
      <c r="G824" s="10"/>
      <c r="H824" s="10"/>
      <c r="I824" s="10"/>
      <c r="J824" s="10"/>
    </row>
    <row r="825" ht="14.25" customHeight="1">
      <c r="A825" s="41"/>
      <c r="B825" s="16"/>
      <c r="C825" s="10"/>
      <c r="D825" s="10"/>
      <c r="E825" s="10"/>
      <c r="F825" s="10"/>
      <c r="G825" s="10"/>
      <c r="H825" s="10"/>
      <c r="I825" s="10"/>
      <c r="J825" s="10"/>
    </row>
    <row r="826" ht="14.25" customHeight="1">
      <c r="A826" s="41"/>
      <c r="B826" s="16"/>
      <c r="C826" s="10"/>
      <c r="D826" s="10"/>
      <c r="E826" s="10"/>
      <c r="F826" s="10"/>
      <c r="G826" s="10"/>
      <c r="H826" s="10"/>
      <c r="I826" s="10"/>
      <c r="J826" s="10"/>
    </row>
    <row r="827" ht="14.25" customHeight="1">
      <c r="A827" s="41"/>
      <c r="B827" s="16"/>
      <c r="C827" s="10"/>
      <c r="D827" s="10"/>
      <c r="E827" s="10"/>
      <c r="F827" s="10"/>
      <c r="G827" s="10"/>
      <c r="H827" s="10"/>
      <c r="I827" s="10"/>
      <c r="J827" s="10"/>
    </row>
    <row r="828" ht="14.25" customHeight="1">
      <c r="A828" s="41"/>
      <c r="B828" s="16"/>
      <c r="C828" s="10"/>
      <c r="D828" s="10"/>
      <c r="E828" s="10"/>
      <c r="F828" s="10"/>
      <c r="G828" s="10"/>
      <c r="H828" s="10"/>
      <c r="I828" s="10"/>
      <c r="J828" s="10"/>
    </row>
    <row r="829" ht="14.25" customHeight="1">
      <c r="A829" s="41"/>
      <c r="B829" s="16"/>
      <c r="C829" s="10"/>
      <c r="D829" s="10"/>
      <c r="E829" s="10"/>
      <c r="F829" s="10"/>
      <c r="G829" s="10"/>
      <c r="H829" s="10"/>
      <c r="I829" s="10"/>
      <c r="J829" s="10"/>
    </row>
    <row r="830" ht="14.25" customHeight="1">
      <c r="A830" s="41"/>
      <c r="B830" s="16"/>
      <c r="C830" s="10"/>
      <c r="D830" s="10"/>
      <c r="E830" s="10"/>
      <c r="F830" s="10"/>
      <c r="G830" s="10"/>
      <c r="H830" s="10"/>
      <c r="I830" s="10"/>
      <c r="J830" s="10"/>
    </row>
    <row r="831" ht="14.25" customHeight="1">
      <c r="A831" s="41"/>
      <c r="B831" s="16"/>
      <c r="C831" s="10"/>
      <c r="D831" s="10"/>
      <c r="E831" s="10"/>
      <c r="F831" s="10"/>
      <c r="G831" s="10"/>
      <c r="H831" s="10"/>
      <c r="I831" s="10"/>
      <c r="J831" s="10"/>
    </row>
    <row r="832" ht="14.25" customHeight="1">
      <c r="A832" s="41"/>
      <c r="B832" s="16"/>
      <c r="C832" s="10"/>
      <c r="D832" s="10"/>
      <c r="E832" s="10"/>
      <c r="F832" s="10"/>
      <c r="G832" s="10"/>
      <c r="H832" s="10"/>
      <c r="I832" s="10"/>
      <c r="J832" s="10"/>
    </row>
    <row r="833" ht="14.25" customHeight="1">
      <c r="A833" s="41"/>
      <c r="B833" s="16"/>
      <c r="C833" s="10"/>
      <c r="D833" s="10"/>
      <c r="E833" s="10"/>
      <c r="F833" s="10"/>
      <c r="G833" s="10"/>
      <c r="H833" s="10"/>
      <c r="I833" s="10"/>
      <c r="J833" s="10"/>
    </row>
    <row r="834" ht="14.25" customHeight="1">
      <c r="A834" s="41"/>
      <c r="B834" s="16"/>
      <c r="C834" s="10"/>
      <c r="D834" s="10"/>
      <c r="E834" s="10"/>
      <c r="F834" s="10"/>
      <c r="G834" s="10"/>
      <c r="H834" s="10"/>
      <c r="I834" s="10"/>
      <c r="J834" s="10"/>
    </row>
    <row r="835" ht="14.25" customHeight="1">
      <c r="A835" s="41"/>
      <c r="B835" s="16"/>
      <c r="C835" s="10"/>
      <c r="D835" s="10"/>
      <c r="E835" s="10"/>
      <c r="F835" s="10"/>
      <c r="G835" s="10"/>
      <c r="H835" s="10"/>
      <c r="I835" s="10"/>
      <c r="J835" s="10"/>
    </row>
    <row r="836" ht="14.25" customHeight="1">
      <c r="A836" s="41"/>
      <c r="B836" s="16"/>
      <c r="C836" s="10"/>
      <c r="D836" s="10"/>
      <c r="E836" s="10"/>
      <c r="F836" s="10"/>
      <c r="G836" s="10"/>
      <c r="H836" s="10"/>
      <c r="I836" s="10"/>
      <c r="J836" s="10"/>
    </row>
    <row r="837" ht="14.25" customHeight="1">
      <c r="A837" s="41"/>
      <c r="B837" s="16"/>
      <c r="C837" s="10"/>
      <c r="D837" s="10"/>
      <c r="E837" s="10"/>
      <c r="F837" s="10"/>
      <c r="G837" s="10"/>
      <c r="H837" s="10"/>
      <c r="I837" s="10"/>
      <c r="J837" s="10"/>
    </row>
    <row r="838" ht="14.25" customHeight="1">
      <c r="A838" s="41"/>
      <c r="B838" s="16"/>
      <c r="C838" s="10"/>
      <c r="D838" s="10"/>
      <c r="E838" s="10"/>
      <c r="F838" s="10"/>
      <c r="G838" s="10"/>
      <c r="H838" s="10"/>
      <c r="I838" s="10"/>
      <c r="J838" s="10"/>
    </row>
    <row r="839" ht="14.25" customHeight="1">
      <c r="A839" s="41"/>
      <c r="B839" s="16"/>
      <c r="C839" s="10"/>
      <c r="D839" s="10"/>
      <c r="E839" s="10"/>
      <c r="F839" s="10"/>
      <c r="G839" s="10"/>
      <c r="H839" s="10"/>
      <c r="I839" s="10"/>
      <c r="J839" s="10"/>
    </row>
    <row r="840" ht="14.25" customHeight="1">
      <c r="A840" s="41"/>
      <c r="B840" s="16"/>
      <c r="C840" s="10"/>
      <c r="D840" s="10"/>
      <c r="E840" s="10"/>
      <c r="F840" s="10"/>
      <c r="G840" s="10"/>
      <c r="H840" s="10"/>
      <c r="I840" s="10"/>
      <c r="J840" s="10"/>
    </row>
    <row r="841" ht="14.25" customHeight="1">
      <c r="A841" s="41"/>
      <c r="B841" s="16"/>
      <c r="C841" s="10"/>
      <c r="D841" s="10"/>
      <c r="E841" s="10"/>
      <c r="F841" s="10"/>
      <c r="G841" s="10"/>
      <c r="H841" s="10"/>
      <c r="I841" s="10"/>
      <c r="J841" s="10"/>
    </row>
    <row r="842" ht="14.25" customHeight="1">
      <c r="A842" s="41"/>
      <c r="B842" s="16"/>
      <c r="C842" s="10"/>
      <c r="D842" s="10"/>
      <c r="E842" s="10"/>
      <c r="F842" s="10"/>
      <c r="G842" s="10"/>
      <c r="H842" s="10"/>
      <c r="I842" s="10"/>
      <c r="J842" s="10"/>
    </row>
    <row r="843" ht="14.25" customHeight="1">
      <c r="A843" s="41"/>
      <c r="B843" s="16"/>
      <c r="C843" s="10"/>
      <c r="D843" s="10"/>
      <c r="E843" s="10"/>
      <c r="F843" s="10"/>
      <c r="G843" s="10"/>
      <c r="H843" s="10"/>
      <c r="I843" s="10"/>
      <c r="J843" s="10"/>
    </row>
    <row r="844" ht="14.25" customHeight="1">
      <c r="A844" s="41"/>
      <c r="B844" s="16"/>
      <c r="C844" s="10"/>
      <c r="D844" s="10"/>
      <c r="E844" s="10"/>
      <c r="F844" s="10"/>
      <c r="G844" s="10"/>
      <c r="H844" s="10"/>
      <c r="I844" s="10"/>
      <c r="J844" s="10"/>
    </row>
    <row r="845" ht="14.25" customHeight="1">
      <c r="A845" s="41"/>
      <c r="B845" s="16"/>
      <c r="C845" s="10"/>
      <c r="D845" s="10"/>
      <c r="E845" s="10"/>
      <c r="F845" s="10"/>
      <c r="G845" s="10"/>
      <c r="H845" s="10"/>
      <c r="I845" s="10"/>
      <c r="J845" s="10"/>
    </row>
    <row r="846" ht="14.25" customHeight="1">
      <c r="A846" s="41"/>
      <c r="B846" s="16"/>
      <c r="C846" s="10"/>
      <c r="D846" s="10"/>
      <c r="E846" s="10"/>
      <c r="F846" s="10"/>
      <c r="G846" s="10"/>
      <c r="H846" s="10"/>
      <c r="I846" s="10"/>
      <c r="J846" s="10"/>
    </row>
    <row r="847" ht="14.25" customHeight="1">
      <c r="A847" s="41"/>
      <c r="B847" s="16"/>
      <c r="C847" s="10"/>
      <c r="D847" s="10"/>
      <c r="E847" s="10"/>
      <c r="F847" s="10"/>
      <c r="G847" s="10"/>
      <c r="H847" s="10"/>
      <c r="I847" s="10"/>
      <c r="J847" s="10"/>
    </row>
    <row r="848" ht="14.25" customHeight="1">
      <c r="A848" s="41"/>
      <c r="B848" s="16"/>
      <c r="C848" s="10"/>
      <c r="D848" s="10"/>
      <c r="E848" s="10"/>
      <c r="F848" s="10"/>
      <c r="G848" s="10"/>
      <c r="H848" s="10"/>
      <c r="I848" s="10"/>
      <c r="J848" s="10"/>
    </row>
    <row r="849" ht="14.25" customHeight="1">
      <c r="A849" s="41"/>
      <c r="B849" s="16"/>
      <c r="C849" s="10"/>
      <c r="D849" s="10"/>
      <c r="E849" s="10"/>
      <c r="F849" s="10"/>
      <c r="G849" s="10"/>
      <c r="H849" s="10"/>
      <c r="I849" s="10"/>
      <c r="J849" s="10"/>
    </row>
    <row r="850" ht="14.25" customHeight="1">
      <c r="A850" s="41"/>
      <c r="B850" s="16"/>
      <c r="C850" s="10"/>
      <c r="D850" s="10"/>
      <c r="E850" s="10"/>
      <c r="F850" s="10"/>
      <c r="G850" s="10"/>
      <c r="H850" s="10"/>
      <c r="I850" s="10"/>
      <c r="J850" s="10"/>
    </row>
    <row r="851" ht="14.25" customHeight="1">
      <c r="A851" s="41"/>
      <c r="B851" s="16"/>
      <c r="C851" s="10"/>
      <c r="D851" s="10"/>
      <c r="E851" s="10"/>
      <c r="F851" s="10"/>
      <c r="G851" s="10"/>
      <c r="H851" s="10"/>
      <c r="I851" s="10"/>
      <c r="J851" s="10"/>
    </row>
    <row r="852" ht="14.25" customHeight="1">
      <c r="A852" s="41"/>
      <c r="B852" s="16"/>
      <c r="C852" s="10"/>
      <c r="D852" s="10"/>
      <c r="E852" s="10"/>
      <c r="F852" s="10"/>
      <c r="G852" s="10"/>
      <c r="H852" s="10"/>
      <c r="I852" s="10"/>
      <c r="J852" s="10"/>
    </row>
    <row r="853" ht="14.25" customHeight="1">
      <c r="A853" s="41"/>
      <c r="B853" s="16"/>
      <c r="C853" s="10"/>
      <c r="D853" s="10"/>
      <c r="E853" s="10"/>
      <c r="F853" s="10"/>
      <c r="G853" s="10"/>
      <c r="H853" s="10"/>
      <c r="I853" s="10"/>
      <c r="J853" s="10"/>
    </row>
    <row r="854" ht="14.25" customHeight="1">
      <c r="A854" s="41"/>
      <c r="B854" s="16"/>
      <c r="C854" s="10"/>
      <c r="D854" s="10"/>
      <c r="E854" s="10"/>
      <c r="F854" s="10"/>
      <c r="G854" s="10"/>
      <c r="H854" s="10"/>
      <c r="I854" s="10"/>
      <c r="J854" s="10"/>
    </row>
    <row r="855" ht="14.25" customHeight="1">
      <c r="A855" s="41"/>
      <c r="B855" s="16"/>
      <c r="C855" s="10"/>
      <c r="D855" s="10"/>
      <c r="E855" s="10"/>
      <c r="F855" s="10"/>
      <c r="G855" s="10"/>
      <c r="H855" s="10"/>
      <c r="I855" s="10"/>
      <c r="J855" s="10"/>
    </row>
    <row r="856" ht="14.25" customHeight="1">
      <c r="A856" s="41"/>
      <c r="B856" s="16"/>
      <c r="C856" s="10"/>
      <c r="D856" s="10"/>
      <c r="E856" s="10"/>
      <c r="F856" s="10"/>
      <c r="G856" s="10"/>
      <c r="H856" s="10"/>
      <c r="I856" s="10"/>
      <c r="J856" s="10"/>
    </row>
    <row r="857" ht="14.25" customHeight="1">
      <c r="A857" s="41"/>
      <c r="B857" s="16"/>
      <c r="C857" s="10"/>
      <c r="D857" s="10"/>
      <c r="E857" s="10"/>
      <c r="F857" s="10"/>
      <c r="G857" s="10"/>
      <c r="H857" s="10"/>
      <c r="I857" s="10"/>
      <c r="J857" s="10"/>
    </row>
    <row r="858" ht="14.25" customHeight="1">
      <c r="A858" s="41"/>
      <c r="B858" s="16"/>
      <c r="C858" s="10"/>
      <c r="D858" s="10"/>
      <c r="E858" s="10"/>
      <c r="F858" s="10"/>
      <c r="G858" s="10"/>
      <c r="H858" s="10"/>
      <c r="I858" s="10"/>
      <c r="J858" s="10"/>
    </row>
    <row r="859" ht="14.25" customHeight="1">
      <c r="A859" s="41"/>
      <c r="B859" s="16"/>
      <c r="C859" s="10"/>
      <c r="D859" s="10"/>
      <c r="E859" s="10"/>
      <c r="F859" s="10"/>
      <c r="G859" s="10"/>
      <c r="H859" s="10"/>
      <c r="I859" s="10"/>
      <c r="J859" s="10"/>
    </row>
    <row r="860" ht="14.25" customHeight="1">
      <c r="A860" s="41"/>
      <c r="B860" s="16"/>
      <c r="C860" s="10"/>
      <c r="D860" s="10"/>
      <c r="E860" s="10"/>
      <c r="F860" s="10"/>
      <c r="G860" s="10"/>
      <c r="H860" s="10"/>
      <c r="I860" s="10"/>
      <c r="J860" s="10"/>
    </row>
    <row r="861" ht="14.25" customHeight="1">
      <c r="A861" s="41"/>
      <c r="B861" s="16"/>
      <c r="C861" s="10"/>
      <c r="D861" s="10"/>
      <c r="E861" s="10"/>
      <c r="F861" s="10"/>
      <c r="G861" s="10"/>
      <c r="H861" s="10"/>
      <c r="I861" s="10"/>
      <c r="J861" s="10"/>
    </row>
    <row r="862" ht="14.25" customHeight="1">
      <c r="A862" s="41"/>
      <c r="B862" s="16"/>
      <c r="C862" s="10"/>
      <c r="D862" s="10"/>
      <c r="E862" s="10"/>
      <c r="F862" s="10"/>
      <c r="G862" s="10"/>
      <c r="H862" s="10"/>
      <c r="I862" s="10"/>
      <c r="J862" s="10"/>
    </row>
    <row r="863" ht="14.25" customHeight="1">
      <c r="A863" s="41"/>
      <c r="B863" s="16"/>
      <c r="C863" s="10"/>
      <c r="D863" s="10"/>
      <c r="E863" s="10"/>
      <c r="F863" s="10"/>
      <c r="G863" s="10"/>
      <c r="H863" s="10"/>
      <c r="I863" s="10"/>
      <c r="J863" s="10"/>
    </row>
    <row r="864" ht="14.25" customHeight="1">
      <c r="A864" s="41"/>
      <c r="B864" s="16"/>
      <c r="C864" s="10"/>
      <c r="D864" s="10"/>
      <c r="E864" s="10"/>
      <c r="F864" s="10"/>
      <c r="G864" s="10"/>
      <c r="H864" s="10"/>
      <c r="I864" s="10"/>
      <c r="J864" s="10"/>
    </row>
    <row r="865" ht="14.25" customHeight="1">
      <c r="A865" s="41"/>
      <c r="B865" s="16"/>
      <c r="C865" s="10"/>
      <c r="D865" s="10"/>
      <c r="E865" s="10"/>
      <c r="F865" s="10"/>
      <c r="G865" s="10"/>
      <c r="H865" s="10"/>
      <c r="I865" s="10"/>
      <c r="J865" s="10"/>
    </row>
    <row r="866" ht="14.25" customHeight="1">
      <c r="A866" s="41"/>
      <c r="B866" s="16"/>
      <c r="C866" s="10"/>
      <c r="D866" s="10"/>
      <c r="E866" s="10"/>
      <c r="F866" s="10"/>
      <c r="G866" s="10"/>
      <c r="H866" s="10"/>
      <c r="I866" s="10"/>
      <c r="J866" s="10"/>
    </row>
    <row r="867" ht="14.25" customHeight="1">
      <c r="A867" s="41"/>
      <c r="B867" s="16"/>
      <c r="C867" s="10"/>
      <c r="D867" s="10"/>
      <c r="E867" s="10"/>
      <c r="F867" s="10"/>
      <c r="G867" s="10"/>
      <c r="H867" s="10"/>
      <c r="I867" s="10"/>
      <c r="J867" s="10"/>
    </row>
    <row r="868" ht="14.25" customHeight="1">
      <c r="A868" s="41"/>
      <c r="B868" s="16"/>
      <c r="C868" s="10"/>
      <c r="D868" s="10"/>
      <c r="E868" s="10"/>
      <c r="F868" s="10"/>
      <c r="G868" s="10"/>
      <c r="H868" s="10"/>
      <c r="I868" s="10"/>
      <c r="J868" s="10"/>
    </row>
    <row r="869" ht="14.25" customHeight="1">
      <c r="A869" s="41"/>
      <c r="B869" s="16"/>
      <c r="C869" s="10"/>
      <c r="D869" s="10"/>
      <c r="E869" s="10"/>
      <c r="F869" s="10"/>
      <c r="G869" s="10"/>
      <c r="H869" s="10"/>
      <c r="I869" s="10"/>
      <c r="J869" s="10"/>
    </row>
    <row r="870" ht="14.25" customHeight="1">
      <c r="A870" s="41"/>
      <c r="B870" s="16"/>
      <c r="C870" s="10"/>
      <c r="D870" s="10"/>
      <c r="E870" s="10"/>
      <c r="F870" s="10"/>
      <c r="G870" s="10"/>
      <c r="H870" s="10"/>
      <c r="I870" s="10"/>
      <c r="J870" s="10"/>
    </row>
    <row r="871" ht="14.25" customHeight="1">
      <c r="A871" s="41"/>
      <c r="B871" s="16"/>
      <c r="C871" s="10"/>
      <c r="D871" s="10"/>
      <c r="E871" s="10"/>
      <c r="F871" s="10"/>
      <c r="G871" s="10"/>
      <c r="H871" s="10"/>
      <c r="I871" s="10"/>
      <c r="J871" s="10"/>
    </row>
    <row r="872" ht="14.25" customHeight="1">
      <c r="A872" s="41"/>
      <c r="B872" s="16"/>
      <c r="C872" s="10"/>
      <c r="D872" s="10"/>
      <c r="E872" s="10"/>
      <c r="F872" s="10"/>
      <c r="G872" s="10"/>
      <c r="H872" s="10"/>
      <c r="I872" s="10"/>
      <c r="J872" s="10"/>
    </row>
    <row r="873" ht="14.25" customHeight="1">
      <c r="A873" s="41"/>
      <c r="B873" s="16"/>
      <c r="C873" s="10"/>
      <c r="D873" s="10"/>
      <c r="E873" s="10"/>
      <c r="F873" s="10"/>
      <c r="G873" s="10"/>
      <c r="H873" s="10"/>
      <c r="I873" s="10"/>
      <c r="J873" s="10"/>
    </row>
    <row r="874" ht="14.25" customHeight="1">
      <c r="A874" s="41"/>
      <c r="B874" s="16"/>
      <c r="C874" s="10"/>
      <c r="D874" s="10"/>
      <c r="E874" s="10"/>
      <c r="F874" s="10"/>
      <c r="G874" s="10"/>
      <c r="H874" s="10"/>
      <c r="I874" s="10"/>
      <c r="J874" s="10"/>
    </row>
    <row r="875" ht="14.25" customHeight="1">
      <c r="A875" s="41"/>
      <c r="B875" s="16"/>
      <c r="C875" s="10"/>
      <c r="D875" s="10"/>
      <c r="E875" s="10"/>
      <c r="F875" s="10"/>
      <c r="G875" s="10"/>
      <c r="H875" s="10"/>
      <c r="I875" s="10"/>
      <c r="J875" s="10"/>
    </row>
    <row r="876" ht="14.25" customHeight="1">
      <c r="A876" s="41"/>
      <c r="B876" s="16"/>
      <c r="C876" s="10"/>
      <c r="D876" s="10"/>
      <c r="E876" s="10"/>
      <c r="F876" s="10"/>
      <c r="G876" s="10"/>
      <c r="H876" s="10"/>
      <c r="I876" s="10"/>
      <c r="J876" s="10"/>
    </row>
    <row r="877" ht="14.25" customHeight="1">
      <c r="A877" s="41"/>
      <c r="B877" s="16"/>
      <c r="C877" s="10"/>
      <c r="D877" s="10"/>
      <c r="E877" s="10"/>
      <c r="F877" s="10"/>
      <c r="G877" s="10"/>
      <c r="H877" s="10"/>
      <c r="I877" s="10"/>
      <c r="J877" s="10"/>
    </row>
    <row r="878" ht="14.25" customHeight="1">
      <c r="A878" s="41"/>
      <c r="B878" s="16"/>
      <c r="C878" s="10"/>
      <c r="D878" s="10"/>
      <c r="E878" s="10"/>
      <c r="F878" s="10"/>
      <c r="G878" s="10"/>
      <c r="H878" s="10"/>
      <c r="I878" s="10"/>
      <c r="J878" s="10"/>
    </row>
    <row r="879" ht="14.25" customHeight="1">
      <c r="A879" s="41"/>
      <c r="B879" s="16"/>
      <c r="C879" s="10"/>
      <c r="D879" s="10"/>
      <c r="E879" s="10"/>
      <c r="F879" s="10"/>
      <c r="G879" s="10"/>
      <c r="H879" s="10"/>
      <c r="I879" s="10"/>
      <c r="J879" s="10"/>
    </row>
    <row r="880" ht="14.25" customHeight="1">
      <c r="A880" s="41"/>
      <c r="B880" s="16"/>
      <c r="C880" s="10"/>
      <c r="D880" s="10"/>
      <c r="E880" s="10"/>
      <c r="F880" s="10"/>
      <c r="G880" s="10"/>
      <c r="H880" s="10"/>
      <c r="I880" s="10"/>
      <c r="J880" s="10"/>
    </row>
    <row r="881" ht="14.25" customHeight="1">
      <c r="A881" s="41"/>
      <c r="B881" s="16"/>
      <c r="C881" s="10"/>
      <c r="D881" s="10"/>
      <c r="E881" s="10"/>
      <c r="F881" s="10"/>
      <c r="G881" s="10"/>
      <c r="H881" s="10"/>
      <c r="I881" s="10"/>
      <c r="J881" s="10"/>
    </row>
    <row r="882" ht="14.25" customHeight="1">
      <c r="A882" s="41"/>
      <c r="B882" s="16"/>
      <c r="C882" s="10"/>
      <c r="D882" s="10"/>
      <c r="E882" s="10"/>
      <c r="F882" s="10"/>
      <c r="G882" s="10"/>
      <c r="H882" s="10"/>
      <c r="I882" s="10"/>
      <c r="J882" s="10"/>
    </row>
    <row r="883" ht="14.25" customHeight="1">
      <c r="A883" s="41"/>
      <c r="B883" s="16"/>
      <c r="C883" s="10"/>
      <c r="D883" s="10"/>
      <c r="E883" s="10"/>
      <c r="F883" s="10"/>
      <c r="G883" s="10"/>
      <c r="H883" s="10"/>
      <c r="I883" s="10"/>
      <c r="J883" s="10"/>
    </row>
    <row r="884" ht="14.25" customHeight="1">
      <c r="A884" s="41"/>
      <c r="B884" s="16"/>
      <c r="C884" s="10"/>
      <c r="D884" s="10"/>
      <c r="E884" s="10"/>
      <c r="F884" s="10"/>
      <c r="G884" s="10"/>
      <c r="H884" s="10"/>
      <c r="I884" s="10"/>
      <c r="J884" s="10"/>
    </row>
    <row r="885" ht="14.25" customHeight="1">
      <c r="A885" s="41"/>
      <c r="B885" s="16"/>
      <c r="C885" s="10"/>
      <c r="D885" s="10"/>
      <c r="E885" s="10"/>
      <c r="F885" s="10"/>
      <c r="G885" s="10"/>
      <c r="H885" s="10"/>
      <c r="I885" s="10"/>
      <c r="J885" s="10"/>
    </row>
    <row r="886" ht="14.25" customHeight="1">
      <c r="A886" s="41"/>
      <c r="B886" s="16"/>
      <c r="C886" s="10"/>
      <c r="D886" s="10"/>
      <c r="E886" s="10"/>
      <c r="F886" s="10"/>
      <c r="G886" s="10"/>
      <c r="H886" s="10"/>
      <c r="I886" s="10"/>
      <c r="J886" s="10"/>
    </row>
    <row r="887" ht="14.25" customHeight="1">
      <c r="A887" s="41"/>
      <c r="B887" s="16"/>
      <c r="C887" s="10"/>
      <c r="D887" s="10"/>
      <c r="E887" s="10"/>
      <c r="F887" s="10"/>
      <c r="G887" s="10"/>
      <c r="H887" s="10"/>
      <c r="I887" s="10"/>
      <c r="J887" s="10"/>
    </row>
    <row r="888" ht="14.25" customHeight="1">
      <c r="A888" s="41"/>
      <c r="B888" s="16"/>
      <c r="C888" s="10"/>
      <c r="D888" s="10"/>
      <c r="E888" s="10"/>
      <c r="F888" s="10"/>
      <c r="G888" s="10"/>
      <c r="H888" s="10"/>
      <c r="I888" s="10"/>
      <c r="J888" s="10"/>
    </row>
    <row r="889" ht="14.25" customHeight="1">
      <c r="A889" s="41"/>
      <c r="B889" s="16"/>
      <c r="C889" s="10"/>
      <c r="D889" s="10"/>
      <c r="E889" s="10"/>
      <c r="F889" s="10"/>
      <c r="G889" s="10"/>
      <c r="H889" s="10"/>
      <c r="I889" s="10"/>
      <c r="J889" s="10"/>
    </row>
    <row r="890" ht="14.25" customHeight="1">
      <c r="A890" s="41"/>
      <c r="B890" s="16"/>
      <c r="C890" s="10"/>
      <c r="D890" s="10"/>
      <c r="E890" s="10"/>
      <c r="F890" s="10"/>
      <c r="G890" s="10"/>
      <c r="H890" s="10"/>
      <c r="I890" s="10"/>
      <c r="J890" s="10"/>
    </row>
    <row r="891" ht="14.25" customHeight="1">
      <c r="A891" s="41"/>
      <c r="B891" s="16"/>
      <c r="C891" s="10"/>
      <c r="D891" s="10"/>
      <c r="E891" s="10"/>
      <c r="F891" s="10"/>
      <c r="G891" s="10"/>
      <c r="H891" s="10"/>
      <c r="I891" s="10"/>
      <c r="J891" s="10"/>
    </row>
    <row r="892" ht="14.25" customHeight="1">
      <c r="A892" s="41"/>
      <c r="B892" s="16"/>
      <c r="C892" s="10"/>
      <c r="D892" s="10"/>
      <c r="E892" s="10"/>
      <c r="F892" s="10"/>
      <c r="G892" s="10"/>
      <c r="H892" s="10"/>
      <c r="I892" s="10"/>
      <c r="J892" s="10"/>
    </row>
    <row r="893" ht="14.25" customHeight="1">
      <c r="A893" s="41"/>
      <c r="B893" s="16"/>
      <c r="C893" s="10"/>
      <c r="D893" s="10"/>
      <c r="E893" s="10"/>
      <c r="F893" s="10"/>
      <c r="G893" s="10"/>
      <c r="H893" s="10"/>
      <c r="I893" s="10"/>
      <c r="J893" s="10"/>
    </row>
    <row r="894" ht="14.25" customHeight="1">
      <c r="A894" s="41"/>
      <c r="B894" s="16"/>
      <c r="C894" s="10"/>
      <c r="D894" s="10"/>
      <c r="E894" s="10"/>
      <c r="F894" s="10"/>
      <c r="G894" s="10"/>
      <c r="H894" s="10"/>
      <c r="I894" s="10"/>
      <c r="J894" s="10"/>
    </row>
    <row r="895" ht="14.25" customHeight="1">
      <c r="A895" s="41"/>
      <c r="B895" s="16"/>
      <c r="C895" s="10"/>
      <c r="D895" s="10"/>
      <c r="E895" s="10"/>
      <c r="F895" s="10"/>
      <c r="G895" s="10"/>
      <c r="H895" s="10"/>
      <c r="I895" s="10"/>
      <c r="J895" s="10"/>
    </row>
    <row r="896" ht="14.25" customHeight="1">
      <c r="A896" s="41"/>
      <c r="B896" s="16"/>
      <c r="C896" s="10"/>
      <c r="D896" s="10"/>
      <c r="E896" s="10"/>
      <c r="F896" s="10"/>
      <c r="G896" s="10"/>
      <c r="H896" s="10"/>
      <c r="I896" s="10"/>
      <c r="J896" s="10"/>
    </row>
    <row r="897" ht="14.25" customHeight="1">
      <c r="A897" s="41"/>
      <c r="B897" s="16"/>
      <c r="C897" s="10"/>
      <c r="D897" s="10"/>
      <c r="E897" s="10"/>
      <c r="F897" s="10"/>
      <c r="G897" s="10"/>
      <c r="H897" s="10"/>
      <c r="I897" s="10"/>
      <c r="J897" s="10"/>
    </row>
    <row r="898" ht="14.25" customHeight="1">
      <c r="A898" s="41"/>
      <c r="B898" s="16"/>
      <c r="C898" s="10"/>
      <c r="D898" s="10"/>
      <c r="E898" s="10"/>
      <c r="F898" s="10"/>
      <c r="G898" s="10"/>
      <c r="H898" s="10"/>
      <c r="I898" s="10"/>
      <c r="J898" s="10"/>
    </row>
    <row r="899" ht="14.25" customHeight="1">
      <c r="A899" s="41"/>
      <c r="B899" s="16"/>
      <c r="C899" s="10"/>
      <c r="D899" s="10"/>
      <c r="E899" s="10"/>
      <c r="F899" s="10"/>
      <c r="G899" s="10"/>
      <c r="H899" s="10"/>
      <c r="I899" s="10"/>
      <c r="J899" s="10"/>
    </row>
    <row r="900" ht="14.25" customHeight="1">
      <c r="A900" s="41"/>
      <c r="B900" s="16"/>
      <c r="C900" s="10"/>
      <c r="D900" s="10"/>
      <c r="E900" s="10"/>
      <c r="F900" s="10"/>
      <c r="G900" s="10"/>
      <c r="H900" s="10"/>
      <c r="I900" s="10"/>
      <c r="J900" s="10"/>
    </row>
    <row r="901" ht="14.25" customHeight="1">
      <c r="A901" s="41"/>
      <c r="B901" s="16"/>
      <c r="C901" s="10"/>
      <c r="D901" s="10"/>
      <c r="E901" s="10"/>
      <c r="F901" s="10"/>
      <c r="G901" s="10"/>
      <c r="H901" s="10"/>
      <c r="I901" s="10"/>
      <c r="J901" s="10"/>
    </row>
    <row r="902" ht="14.25" customHeight="1">
      <c r="A902" s="41"/>
      <c r="B902" s="16"/>
      <c r="C902" s="10"/>
      <c r="D902" s="10"/>
      <c r="E902" s="10"/>
      <c r="F902" s="10"/>
      <c r="G902" s="10"/>
      <c r="H902" s="10"/>
      <c r="I902" s="10"/>
      <c r="J902" s="10"/>
    </row>
    <row r="903" ht="14.25" customHeight="1">
      <c r="A903" s="41"/>
      <c r="B903" s="16"/>
      <c r="C903" s="10"/>
      <c r="D903" s="10"/>
      <c r="E903" s="10"/>
      <c r="F903" s="10"/>
      <c r="G903" s="10"/>
      <c r="H903" s="10"/>
      <c r="I903" s="10"/>
      <c r="J903" s="10"/>
    </row>
    <row r="904" ht="14.25" customHeight="1">
      <c r="A904" s="41"/>
      <c r="B904" s="16"/>
      <c r="C904" s="10"/>
      <c r="D904" s="10"/>
      <c r="E904" s="10"/>
      <c r="F904" s="10"/>
      <c r="G904" s="10"/>
      <c r="H904" s="10"/>
      <c r="I904" s="10"/>
      <c r="J904" s="10"/>
    </row>
    <row r="905" ht="14.25" customHeight="1">
      <c r="A905" s="41"/>
      <c r="B905" s="16"/>
      <c r="C905" s="10"/>
      <c r="D905" s="10"/>
      <c r="E905" s="10"/>
      <c r="F905" s="10"/>
      <c r="G905" s="10"/>
      <c r="H905" s="10"/>
      <c r="I905" s="10"/>
      <c r="J905" s="10"/>
    </row>
    <row r="906" ht="14.25" customHeight="1">
      <c r="A906" s="41"/>
      <c r="B906" s="16"/>
      <c r="C906" s="10"/>
      <c r="D906" s="10"/>
      <c r="E906" s="10"/>
      <c r="F906" s="10"/>
      <c r="G906" s="10"/>
      <c r="H906" s="10"/>
      <c r="I906" s="10"/>
      <c r="J906" s="10"/>
    </row>
    <row r="907" ht="14.25" customHeight="1">
      <c r="A907" s="41"/>
      <c r="B907" s="16"/>
      <c r="C907" s="10"/>
      <c r="D907" s="10"/>
      <c r="E907" s="10"/>
      <c r="F907" s="10"/>
      <c r="G907" s="10"/>
      <c r="H907" s="10"/>
      <c r="I907" s="10"/>
      <c r="J907" s="10"/>
    </row>
    <row r="908" ht="14.25" customHeight="1">
      <c r="A908" s="41"/>
      <c r="B908" s="16"/>
      <c r="C908" s="10"/>
      <c r="D908" s="10"/>
      <c r="E908" s="10"/>
      <c r="F908" s="10"/>
      <c r="G908" s="10"/>
      <c r="H908" s="10"/>
      <c r="I908" s="10"/>
      <c r="J908" s="10"/>
    </row>
    <row r="909" ht="14.25" customHeight="1">
      <c r="A909" s="41"/>
      <c r="B909" s="16"/>
      <c r="C909" s="10"/>
      <c r="D909" s="10"/>
      <c r="E909" s="10"/>
      <c r="F909" s="10"/>
      <c r="G909" s="10"/>
      <c r="H909" s="10"/>
      <c r="I909" s="10"/>
      <c r="J909" s="10"/>
    </row>
    <row r="910" ht="14.25" customHeight="1">
      <c r="A910" s="41"/>
      <c r="B910" s="16"/>
      <c r="C910" s="10"/>
      <c r="D910" s="10"/>
      <c r="E910" s="10"/>
      <c r="F910" s="10"/>
      <c r="G910" s="10"/>
      <c r="H910" s="10"/>
      <c r="I910" s="10"/>
      <c r="J910" s="10"/>
    </row>
    <row r="911" ht="14.25" customHeight="1">
      <c r="A911" s="41"/>
      <c r="B911" s="16"/>
      <c r="C911" s="10"/>
      <c r="D911" s="10"/>
      <c r="E911" s="10"/>
      <c r="F911" s="10"/>
      <c r="G911" s="10"/>
      <c r="H911" s="10"/>
      <c r="I911" s="10"/>
      <c r="J911" s="10"/>
    </row>
    <row r="912" ht="14.25" customHeight="1">
      <c r="A912" s="41"/>
      <c r="B912" s="16"/>
      <c r="C912" s="10"/>
      <c r="D912" s="10"/>
      <c r="E912" s="10"/>
      <c r="F912" s="10"/>
      <c r="G912" s="10"/>
      <c r="H912" s="10"/>
      <c r="I912" s="10"/>
      <c r="J912" s="10"/>
    </row>
    <row r="913" ht="14.25" customHeight="1">
      <c r="A913" s="41"/>
      <c r="B913" s="16"/>
      <c r="C913" s="10"/>
      <c r="D913" s="10"/>
      <c r="E913" s="10"/>
      <c r="F913" s="10"/>
      <c r="G913" s="10"/>
      <c r="H913" s="10"/>
      <c r="I913" s="10"/>
      <c r="J913" s="10"/>
    </row>
    <row r="914" ht="14.25" customHeight="1">
      <c r="A914" s="41"/>
      <c r="B914" s="16"/>
      <c r="C914" s="10"/>
      <c r="D914" s="10"/>
      <c r="E914" s="10"/>
      <c r="F914" s="10"/>
      <c r="G914" s="10"/>
      <c r="H914" s="10"/>
      <c r="I914" s="10"/>
      <c r="J914" s="10"/>
    </row>
    <row r="915" ht="14.25" customHeight="1">
      <c r="A915" s="41"/>
      <c r="B915" s="16"/>
      <c r="C915" s="10"/>
      <c r="D915" s="10"/>
      <c r="E915" s="10"/>
      <c r="F915" s="10"/>
      <c r="G915" s="10"/>
      <c r="H915" s="10"/>
      <c r="I915" s="10"/>
      <c r="J915" s="10"/>
    </row>
    <row r="916" ht="14.25" customHeight="1">
      <c r="A916" s="41"/>
      <c r="B916" s="16"/>
      <c r="C916" s="10"/>
      <c r="D916" s="10"/>
      <c r="E916" s="10"/>
      <c r="F916" s="10"/>
      <c r="G916" s="10"/>
      <c r="H916" s="10"/>
      <c r="I916" s="10"/>
      <c r="J916" s="10"/>
    </row>
    <row r="917" ht="14.25" customHeight="1">
      <c r="A917" s="41"/>
      <c r="B917" s="16"/>
      <c r="C917" s="10"/>
      <c r="D917" s="10"/>
      <c r="E917" s="10"/>
      <c r="F917" s="10"/>
      <c r="G917" s="10"/>
      <c r="H917" s="10"/>
      <c r="I917" s="10"/>
      <c r="J917" s="10"/>
    </row>
    <row r="918" ht="14.25" customHeight="1">
      <c r="A918" s="41"/>
      <c r="B918" s="16"/>
      <c r="C918" s="10"/>
      <c r="D918" s="10"/>
      <c r="E918" s="10"/>
      <c r="F918" s="10"/>
      <c r="G918" s="10"/>
      <c r="H918" s="10"/>
      <c r="I918" s="10"/>
      <c r="J918" s="10"/>
    </row>
    <row r="919" ht="14.25" customHeight="1">
      <c r="A919" s="41"/>
      <c r="B919" s="16"/>
      <c r="C919" s="10"/>
      <c r="D919" s="10"/>
      <c r="E919" s="10"/>
      <c r="F919" s="10"/>
      <c r="G919" s="10"/>
      <c r="H919" s="10"/>
      <c r="I919" s="10"/>
      <c r="J919" s="10"/>
    </row>
    <row r="920" ht="14.25" customHeight="1">
      <c r="A920" s="41"/>
      <c r="B920" s="16"/>
      <c r="C920" s="10"/>
      <c r="D920" s="10"/>
      <c r="E920" s="10"/>
      <c r="F920" s="10"/>
      <c r="G920" s="10"/>
      <c r="H920" s="10"/>
      <c r="I920" s="10"/>
      <c r="J920" s="10"/>
    </row>
    <row r="921" ht="14.25" customHeight="1">
      <c r="A921" s="41"/>
      <c r="B921" s="16"/>
      <c r="C921" s="10"/>
      <c r="D921" s="10"/>
      <c r="E921" s="10"/>
      <c r="F921" s="10"/>
      <c r="G921" s="10"/>
      <c r="H921" s="10"/>
      <c r="I921" s="10"/>
      <c r="J921" s="10"/>
    </row>
    <row r="922" ht="14.25" customHeight="1">
      <c r="A922" s="41"/>
      <c r="B922" s="16"/>
      <c r="C922" s="10"/>
      <c r="D922" s="10"/>
      <c r="E922" s="10"/>
      <c r="F922" s="10"/>
      <c r="G922" s="10"/>
      <c r="H922" s="10"/>
      <c r="I922" s="10"/>
      <c r="J922" s="10"/>
    </row>
    <row r="923" ht="14.25" customHeight="1">
      <c r="A923" s="41"/>
      <c r="B923" s="16"/>
      <c r="C923" s="10"/>
      <c r="D923" s="10"/>
      <c r="E923" s="10"/>
      <c r="F923" s="10"/>
      <c r="G923" s="10"/>
      <c r="H923" s="10"/>
      <c r="I923" s="10"/>
      <c r="J923" s="10"/>
    </row>
    <row r="924" ht="14.25" customHeight="1">
      <c r="A924" s="41"/>
      <c r="B924" s="16"/>
      <c r="C924" s="10"/>
      <c r="D924" s="10"/>
      <c r="E924" s="10"/>
      <c r="F924" s="10"/>
      <c r="G924" s="10"/>
      <c r="H924" s="10"/>
      <c r="I924" s="10"/>
      <c r="J924" s="10"/>
    </row>
    <row r="925" ht="14.25" customHeight="1">
      <c r="A925" s="41"/>
      <c r="B925" s="16"/>
      <c r="C925" s="10"/>
      <c r="D925" s="10"/>
      <c r="E925" s="10"/>
      <c r="F925" s="10"/>
      <c r="G925" s="10"/>
      <c r="H925" s="10"/>
      <c r="I925" s="10"/>
      <c r="J925" s="10"/>
    </row>
    <row r="926" ht="14.25" customHeight="1">
      <c r="A926" s="41"/>
      <c r="B926" s="16"/>
      <c r="C926" s="10"/>
      <c r="D926" s="10"/>
      <c r="E926" s="10"/>
      <c r="F926" s="10"/>
      <c r="G926" s="10"/>
      <c r="H926" s="10"/>
      <c r="I926" s="10"/>
      <c r="J926" s="10"/>
    </row>
    <row r="927" ht="14.25" customHeight="1">
      <c r="A927" s="41"/>
      <c r="B927" s="16"/>
      <c r="C927" s="10"/>
      <c r="D927" s="10"/>
      <c r="E927" s="10"/>
      <c r="F927" s="10"/>
      <c r="G927" s="10"/>
      <c r="H927" s="10"/>
      <c r="I927" s="10"/>
      <c r="J927" s="10"/>
    </row>
    <row r="928" ht="14.25" customHeight="1">
      <c r="A928" s="41"/>
      <c r="B928" s="16"/>
      <c r="C928" s="10"/>
      <c r="D928" s="10"/>
      <c r="E928" s="10"/>
      <c r="F928" s="10"/>
      <c r="G928" s="10"/>
      <c r="H928" s="10"/>
      <c r="I928" s="10"/>
      <c r="J928" s="10"/>
    </row>
    <row r="929" ht="14.25" customHeight="1">
      <c r="A929" s="41"/>
      <c r="B929" s="16"/>
      <c r="C929" s="10"/>
      <c r="D929" s="10"/>
      <c r="E929" s="10"/>
      <c r="F929" s="10"/>
      <c r="G929" s="10"/>
      <c r="H929" s="10"/>
      <c r="I929" s="10"/>
      <c r="J929" s="10"/>
    </row>
    <row r="930" ht="14.25" customHeight="1">
      <c r="A930" s="41"/>
      <c r="B930" s="16"/>
      <c r="C930" s="10"/>
      <c r="D930" s="10"/>
      <c r="E930" s="10"/>
      <c r="F930" s="10"/>
      <c r="G930" s="10"/>
      <c r="H930" s="10"/>
      <c r="I930" s="10"/>
      <c r="J930" s="10"/>
    </row>
    <row r="931" ht="14.25" customHeight="1">
      <c r="A931" s="41"/>
      <c r="B931" s="16"/>
      <c r="C931" s="10"/>
      <c r="D931" s="10"/>
      <c r="E931" s="10"/>
      <c r="F931" s="10"/>
      <c r="G931" s="10"/>
      <c r="H931" s="10"/>
      <c r="I931" s="10"/>
      <c r="J931" s="10"/>
    </row>
    <row r="932" ht="14.25" customHeight="1">
      <c r="A932" s="41"/>
      <c r="B932" s="16"/>
      <c r="C932" s="10"/>
      <c r="D932" s="10"/>
      <c r="E932" s="10"/>
      <c r="F932" s="10"/>
      <c r="G932" s="10"/>
      <c r="H932" s="10"/>
      <c r="I932" s="10"/>
      <c r="J932" s="10"/>
    </row>
    <row r="933" ht="14.25" customHeight="1">
      <c r="A933" s="41"/>
      <c r="B933" s="16"/>
      <c r="C933" s="10"/>
      <c r="D933" s="10"/>
      <c r="E933" s="10"/>
      <c r="F933" s="10"/>
      <c r="G933" s="10"/>
      <c r="H933" s="10"/>
      <c r="I933" s="10"/>
      <c r="J933" s="10"/>
    </row>
    <row r="934" ht="14.25" customHeight="1">
      <c r="A934" s="41"/>
      <c r="B934" s="16"/>
      <c r="C934" s="10"/>
      <c r="D934" s="10"/>
      <c r="E934" s="10"/>
      <c r="F934" s="10"/>
      <c r="G934" s="10"/>
      <c r="H934" s="10"/>
      <c r="I934" s="10"/>
      <c r="J934" s="10"/>
    </row>
    <row r="935" ht="14.25" customHeight="1">
      <c r="A935" s="41"/>
      <c r="B935" s="16"/>
      <c r="C935" s="10"/>
      <c r="D935" s="10"/>
      <c r="E935" s="10"/>
      <c r="F935" s="10"/>
      <c r="G935" s="10"/>
      <c r="H935" s="10"/>
      <c r="I935" s="10"/>
      <c r="J935" s="10"/>
    </row>
    <row r="936" ht="14.25" customHeight="1">
      <c r="A936" s="41"/>
      <c r="B936" s="16"/>
      <c r="C936" s="10"/>
      <c r="D936" s="10"/>
      <c r="E936" s="10"/>
      <c r="F936" s="10"/>
      <c r="G936" s="10"/>
      <c r="H936" s="10"/>
      <c r="I936" s="10"/>
      <c r="J936" s="10"/>
    </row>
    <row r="937" ht="14.25" customHeight="1">
      <c r="A937" s="41"/>
      <c r="B937" s="16"/>
      <c r="C937" s="10"/>
      <c r="D937" s="10"/>
      <c r="E937" s="10"/>
      <c r="F937" s="10"/>
      <c r="G937" s="10"/>
      <c r="H937" s="10"/>
      <c r="I937" s="10"/>
      <c r="J937" s="10"/>
    </row>
    <row r="938" ht="14.25" customHeight="1">
      <c r="A938" s="41"/>
      <c r="B938" s="16"/>
      <c r="C938" s="10"/>
      <c r="D938" s="10"/>
      <c r="E938" s="10"/>
      <c r="F938" s="10"/>
      <c r="G938" s="10"/>
      <c r="H938" s="10"/>
      <c r="I938" s="10"/>
      <c r="J938" s="10"/>
    </row>
    <row r="939" ht="14.25" customHeight="1">
      <c r="A939" s="41"/>
      <c r="B939" s="16"/>
      <c r="C939" s="10"/>
      <c r="D939" s="10"/>
      <c r="E939" s="10"/>
      <c r="F939" s="10"/>
      <c r="G939" s="10"/>
      <c r="H939" s="10"/>
      <c r="I939" s="10"/>
      <c r="J939" s="10"/>
    </row>
    <row r="940" ht="14.25" customHeight="1">
      <c r="A940" s="41"/>
      <c r="B940" s="16"/>
      <c r="C940" s="10"/>
      <c r="D940" s="10"/>
      <c r="E940" s="10"/>
      <c r="F940" s="10"/>
      <c r="G940" s="10"/>
      <c r="H940" s="10"/>
      <c r="I940" s="10"/>
      <c r="J940" s="10"/>
    </row>
    <row r="941" ht="14.25" customHeight="1">
      <c r="A941" s="41"/>
      <c r="B941" s="16"/>
      <c r="C941" s="10"/>
      <c r="D941" s="10"/>
      <c r="E941" s="10"/>
      <c r="F941" s="10"/>
      <c r="G941" s="10"/>
      <c r="H941" s="10"/>
      <c r="I941" s="10"/>
      <c r="J941" s="10"/>
    </row>
    <row r="942" ht="14.25" customHeight="1">
      <c r="A942" s="41"/>
      <c r="B942" s="16"/>
      <c r="C942" s="10"/>
      <c r="D942" s="10"/>
      <c r="E942" s="10"/>
      <c r="F942" s="10"/>
      <c r="G942" s="10"/>
      <c r="H942" s="10"/>
      <c r="I942" s="10"/>
      <c r="J942" s="10"/>
    </row>
    <row r="943" ht="14.25" customHeight="1">
      <c r="A943" s="41"/>
      <c r="B943" s="16"/>
      <c r="C943" s="10"/>
      <c r="D943" s="10"/>
      <c r="E943" s="10"/>
      <c r="F943" s="10"/>
      <c r="G943" s="10"/>
      <c r="H943" s="10"/>
      <c r="I943" s="10"/>
      <c r="J943" s="10"/>
    </row>
    <row r="944" ht="14.25" customHeight="1">
      <c r="A944" s="41"/>
      <c r="B944" s="16"/>
      <c r="C944" s="10"/>
      <c r="D944" s="10"/>
      <c r="E944" s="10"/>
      <c r="F944" s="10"/>
      <c r="G944" s="10"/>
      <c r="H944" s="10"/>
      <c r="I944" s="10"/>
      <c r="J944" s="10"/>
    </row>
    <row r="945" ht="14.25" customHeight="1">
      <c r="A945" s="41"/>
      <c r="B945" s="16"/>
      <c r="C945" s="10"/>
      <c r="D945" s="10"/>
      <c r="E945" s="10"/>
      <c r="F945" s="10"/>
      <c r="G945" s="10"/>
      <c r="H945" s="10"/>
      <c r="I945" s="10"/>
      <c r="J945" s="10"/>
    </row>
    <row r="946" ht="14.25" customHeight="1">
      <c r="A946" s="41"/>
      <c r="B946" s="16"/>
      <c r="C946" s="10"/>
      <c r="D946" s="10"/>
      <c r="E946" s="10"/>
      <c r="F946" s="10"/>
      <c r="G946" s="10"/>
      <c r="H946" s="10"/>
      <c r="I946" s="10"/>
      <c r="J946" s="10"/>
    </row>
    <row r="947" ht="14.25" customHeight="1">
      <c r="A947" s="41"/>
      <c r="B947" s="16"/>
      <c r="C947" s="10"/>
      <c r="D947" s="10"/>
      <c r="E947" s="10"/>
      <c r="F947" s="10"/>
      <c r="G947" s="10"/>
      <c r="H947" s="10"/>
      <c r="I947" s="10"/>
      <c r="J947" s="10"/>
    </row>
    <row r="948" ht="14.25" customHeight="1">
      <c r="A948" s="41"/>
      <c r="B948" s="16"/>
      <c r="C948" s="10"/>
      <c r="D948" s="10"/>
      <c r="E948" s="10"/>
      <c r="F948" s="10"/>
      <c r="G948" s="10"/>
      <c r="H948" s="10"/>
      <c r="I948" s="10"/>
      <c r="J948" s="10"/>
    </row>
    <row r="949" ht="14.25" customHeight="1">
      <c r="A949" s="41"/>
      <c r="B949" s="16"/>
      <c r="C949" s="10"/>
      <c r="D949" s="10"/>
      <c r="E949" s="10"/>
      <c r="F949" s="10"/>
      <c r="G949" s="10"/>
      <c r="H949" s="10"/>
      <c r="I949" s="10"/>
      <c r="J949" s="10"/>
    </row>
    <row r="950" ht="14.25" customHeight="1">
      <c r="A950" s="41"/>
      <c r="B950" s="16"/>
      <c r="C950" s="10"/>
      <c r="D950" s="10"/>
      <c r="E950" s="10"/>
      <c r="F950" s="10"/>
      <c r="G950" s="10"/>
      <c r="H950" s="10"/>
      <c r="I950" s="10"/>
      <c r="J950" s="10"/>
    </row>
    <row r="951" ht="14.25" customHeight="1">
      <c r="A951" s="41"/>
      <c r="B951" s="16"/>
      <c r="C951" s="10"/>
      <c r="D951" s="10"/>
      <c r="E951" s="10"/>
      <c r="F951" s="10"/>
      <c r="G951" s="10"/>
      <c r="H951" s="10"/>
      <c r="I951" s="10"/>
      <c r="J951" s="10"/>
    </row>
    <row r="952" ht="14.25" customHeight="1">
      <c r="A952" s="41"/>
      <c r="B952" s="16"/>
      <c r="C952" s="10"/>
      <c r="D952" s="10"/>
      <c r="E952" s="10"/>
      <c r="F952" s="10"/>
      <c r="G952" s="10"/>
      <c r="H952" s="10"/>
      <c r="I952" s="10"/>
      <c r="J952" s="10"/>
    </row>
    <row r="953" ht="14.25" customHeight="1">
      <c r="A953" s="41"/>
      <c r="B953" s="16"/>
      <c r="C953" s="10"/>
      <c r="D953" s="10"/>
      <c r="E953" s="10"/>
      <c r="F953" s="10"/>
      <c r="G953" s="10"/>
      <c r="H953" s="10"/>
      <c r="I953" s="10"/>
      <c r="J953" s="10"/>
    </row>
    <row r="954" ht="14.25" customHeight="1">
      <c r="A954" s="41"/>
      <c r="B954" s="16"/>
      <c r="C954" s="10"/>
      <c r="D954" s="10"/>
      <c r="E954" s="10"/>
      <c r="F954" s="10"/>
      <c r="G954" s="10"/>
      <c r="H954" s="10"/>
      <c r="I954" s="10"/>
      <c r="J954" s="10"/>
    </row>
    <row r="955" ht="14.25" customHeight="1">
      <c r="A955" s="41"/>
      <c r="B955" s="16"/>
      <c r="C955" s="10"/>
      <c r="D955" s="10"/>
      <c r="E955" s="10"/>
      <c r="F955" s="10"/>
      <c r="G955" s="10"/>
      <c r="H955" s="10"/>
      <c r="I955" s="10"/>
      <c r="J955" s="10"/>
    </row>
    <row r="956" ht="14.25" customHeight="1">
      <c r="A956" s="41"/>
      <c r="B956" s="16"/>
      <c r="C956" s="10"/>
      <c r="D956" s="10"/>
      <c r="E956" s="10"/>
      <c r="F956" s="10"/>
      <c r="G956" s="10"/>
      <c r="H956" s="10"/>
      <c r="I956" s="10"/>
      <c r="J956" s="10"/>
    </row>
    <row r="957" ht="14.25" customHeight="1">
      <c r="A957" s="41"/>
      <c r="B957" s="16"/>
      <c r="C957" s="10"/>
      <c r="D957" s="10"/>
      <c r="E957" s="10"/>
      <c r="F957" s="10"/>
      <c r="G957" s="10"/>
      <c r="H957" s="10"/>
      <c r="I957" s="10"/>
      <c r="J957" s="10"/>
    </row>
    <row r="958" ht="14.25" customHeight="1">
      <c r="A958" s="41"/>
      <c r="B958" s="16"/>
      <c r="C958" s="10"/>
      <c r="D958" s="10"/>
      <c r="E958" s="10"/>
      <c r="F958" s="10"/>
      <c r="G958" s="10"/>
      <c r="H958" s="10"/>
      <c r="I958" s="10"/>
      <c r="J958" s="10"/>
    </row>
    <row r="959" ht="14.25" customHeight="1">
      <c r="A959" s="41"/>
      <c r="B959" s="16"/>
      <c r="C959" s="10"/>
      <c r="D959" s="10"/>
      <c r="E959" s="10"/>
      <c r="F959" s="10"/>
      <c r="G959" s="10"/>
      <c r="H959" s="10"/>
      <c r="I959" s="10"/>
      <c r="J959" s="10"/>
    </row>
    <row r="960" ht="14.25" customHeight="1">
      <c r="A960" s="41"/>
      <c r="B960" s="16"/>
      <c r="C960" s="10"/>
      <c r="D960" s="10"/>
      <c r="E960" s="10"/>
      <c r="F960" s="10"/>
      <c r="G960" s="10"/>
      <c r="H960" s="10"/>
      <c r="I960" s="10"/>
      <c r="J960" s="10"/>
    </row>
    <row r="961" ht="14.25" customHeight="1">
      <c r="A961" s="41"/>
      <c r="B961" s="16"/>
      <c r="C961" s="10"/>
      <c r="D961" s="10"/>
      <c r="E961" s="10"/>
      <c r="F961" s="10"/>
      <c r="G961" s="10"/>
      <c r="H961" s="10"/>
      <c r="I961" s="10"/>
      <c r="J961" s="10"/>
    </row>
    <row r="962" ht="14.25" customHeight="1">
      <c r="A962" s="41"/>
      <c r="B962" s="16"/>
      <c r="C962" s="10"/>
      <c r="D962" s="10"/>
      <c r="E962" s="10"/>
      <c r="F962" s="10"/>
      <c r="G962" s="10"/>
      <c r="H962" s="10"/>
      <c r="I962" s="10"/>
      <c r="J962" s="10"/>
    </row>
    <row r="963" ht="14.25" customHeight="1">
      <c r="A963" s="41"/>
      <c r="B963" s="16"/>
      <c r="C963" s="10"/>
      <c r="D963" s="10"/>
      <c r="E963" s="10"/>
      <c r="F963" s="10"/>
      <c r="G963" s="10"/>
      <c r="H963" s="10"/>
      <c r="I963" s="10"/>
      <c r="J963" s="10"/>
    </row>
    <row r="964" ht="14.25" customHeight="1">
      <c r="A964" s="41"/>
      <c r="B964" s="16"/>
      <c r="C964" s="10"/>
      <c r="D964" s="10"/>
      <c r="E964" s="10"/>
      <c r="F964" s="10"/>
      <c r="G964" s="10"/>
      <c r="H964" s="10"/>
      <c r="I964" s="10"/>
      <c r="J964" s="10"/>
    </row>
    <row r="965" ht="14.25" customHeight="1">
      <c r="A965" s="41"/>
      <c r="B965" s="16"/>
      <c r="C965" s="10"/>
      <c r="D965" s="10"/>
      <c r="E965" s="10"/>
      <c r="F965" s="10"/>
      <c r="G965" s="10"/>
      <c r="H965" s="10"/>
      <c r="I965" s="10"/>
      <c r="J965" s="10"/>
    </row>
    <row r="966" ht="14.25" customHeight="1">
      <c r="A966" s="41"/>
      <c r="B966" s="16"/>
      <c r="C966" s="10"/>
      <c r="D966" s="10"/>
      <c r="E966" s="10"/>
      <c r="F966" s="10"/>
      <c r="G966" s="10"/>
      <c r="H966" s="10"/>
      <c r="I966" s="10"/>
      <c r="J966" s="10"/>
    </row>
    <row r="967" ht="14.25" customHeight="1">
      <c r="A967" s="41"/>
      <c r="B967" s="16"/>
      <c r="C967" s="10"/>
      <c r="D967" s="10"/>
      <c r="E967" s="10"/>
      <c r="F967" s="10"/>
      <c r="G967" s="10"/>
      <c r="H967" s="10"/>
      <c r="I967" s="10"/>
      <c r="J967" s="10"/>
    </row>
    <row r="968" ht="14.25" customHeight="1">
      <c r="A968" s="41"/>
      <c r="B968" s="16"/>
      <c r="C968" s="10"/>
      <c r="D968" s="10"/>
      <c r="E968" s="10"/>
      <c r="F968" s="10"/>
      <c r="G968" s="10"/>
      <c r="H968" s="10"/>
      <c r="I968" s="10"/>
      <c r="J968" s="10"/>
    </row>
    <row r="969" ht="14.25" customHeight="1">
      <c r="A969" s="41"/>
      <c r="B969" s="16"/>
      <c r="C969" s="10"/>
      <c r="D969" s="10"/>
      <c r="E969" s="10"/>
      <c r="F969" s="10"/>
      <c r="G969" s="10"/>
      <c r="H969" s="10"/>
      <c r="I969" s="10"/>
      <c r="J969" s="10"/>
    </row>
    <row r="970" ht="14.25" customHeight="1">
      <c r="A970" s="41"/>
      <c r="B970" s="16"/>
      <c r="C970" s="10"/>
      <c r="D970" s="10"/>
      <c r="E970" s="10"/>
      <c r="F970" s="10"/>
      <c r="G970" s="10"/>
      <c r="H970" s="10"/>
      <c r="I970" s="10"/>
      <c r="J970" s="10"/>
    </row>
    <row r="971" ht="14.25" customHeight="1">
      <c r="A971" s="41"/>
      <c r="B971" s="16"/>
      <c r="C971" s="10"/>
      <c r="D971" s="10"/>
      <c r="E971" s="10"/>
      <c r="F971" s="10"/>
      <c r="G971" s="10"/>
      <c r="H971" s="10"/>
      <c r="I971" s="10"/>
      <c r="J971" s="10"/>
    </row>
    <row r="972" ht="14.25" customHeight="1">
      <c r="A972" s="41"/>
      <c r="B972" s="16"/>
      <c r="C972" s="10"/>
      <c r="D972" s="10"/>
      <c r="E972" s="10"/>
      <c r="F972" s="10"/>
      <c r="G972" s="10"/>
      <c r="H972" s="10"/>
      <c r="I972" s="10"/>
      <c r="J972" s="10"/>
    </row>
    <row r="973" ht="14.25" customHeight="1">
      <c r="A973" s="41"/>
      <c r="B973" s="16"/>
      <c r="C973" s="10"/>
      <c r="D973" s="10"/>
      <c r="E973" s="10"/>
      <c r="F973" s="10"/>
      <c r="G973" s="10"/>
      <c r="H973" s="10"/>
      <c r="I973" s="10"/>
      <c r="J973" s="10"/>
    </row>
    <row r="974" ht="14.25" customHeight="1">
      <c r="A974" s="41"/>
      <c r="B974" s="16"/>
      <c r="C974" s="10"/>
      <c r="D974" s="10"/>
      <c r="E974" s="10"/>
      <c r="F974" s="10"/>
      <c r="G974" s="10"/>
      <c r="H974" s="10"/>
      <c r="I974" s="10"/>
      <c r="J974" s="10"/>
    </row>
    <row r="975" ht="14.25" customHeight="1">
      <c r="A975" s="41"/>
      <c r="B975" s="16"/>
      <c r="C975" s="10"/>
      <c r="D975" s="10"/>
      <c r="E975" s="10"/>
      <c r="F975" s="10"/>
      <c r="G975" s="10"/>
      <c r="H975" s="10"/>
      <c r="I975" s="10"/>
      <c r="J975" s="10"/>
    </row>
    <row r="976" ht="14.25" customHeight="1">
      <c r="A976" s="41"/>
      <c r="B976" s="16"/>
      <c r="C976" s="10"/>
      <c r="D976" s="10"/>
      <c r="E976" s="10"/>
      <c r="F976" s="10"/>
      <c r="G976" s="10"/>
      <c r="H976" s="10"/>
      <c r="I976" s="10"/>
      <c r="J976" s="10"/>
    </row>
    <row r="977" ht="14.25" customHeight="1">
      <c r="A977" s="41"/>
      <c r="B977" s="16"/>
      <c r="C977" s="10"/>
      <c r="D977" s="10"/>
      <c r="E977" s="10"/>
      <c r="F977" s="10"/>
      <c r="G977" s="10"/>
      <c r="H977" s="10"/>
      <c r="I977" s="10"/>
      <c r="J977" s="10"/>
    </row>
    <row r="978" ht="14.25" customHeight="1">
      <c r="A978" s="41"/>
      <c r="B978" s="16"/>
      <c r="C978" s="10"/>
      <c r="D978" s="10"/>
      <c r="E978" s="10"/>
      <c r="F978" s="10"/>
      <c r="G978" s="10"/>
      <c r="H978" s="10"/>
      <c r="I978" s="10"/>
      <c r="J978" s="10"/>
    </row>
    <row r="979" ht="14.25" customHeight="1">
      <c r="A979" s="41"/>
      <c r="B979" s="16"/>
      <c r="C979" s="10"/>
      <c r="D979" s="10"/>
      <c r="E979" s="10"/>
      <c r="F979" s="10"/>
      <c r="G979" s="10"/>
      <c r="H979" s="10"/>
      <c r="I979" s="10"/>
      <c r="J979" s="10"/>
    </row>
    <row r="980" ht="14.25" customHeight="1">
      <c r="A980" s="41"/>
      <c r="B980" s="16"/>
      <c r="C980" s="10"/>
      <c r="D980" s="10"/>
      <c r="E980" s="10"/>
      <c r="F980" s="10"/>
      <c r="G980" s="10"/>
      <c r="H980" s="10"/>
      <c r="I980" s="10"/>
      <c r="J980" s="10"/>
    </row>
    <row r="981" ht="14.25" customHeight="1">
      <c r="A981" s="41"/>
      <c r="B981" s="16"/>
      <c r="C981" s="10"/>
      <c r="D981" s="10"/>
      <c r="E981" s="10"/>
      <c r="F981" s="10"/>
      <c r="G981" s="10"/>
      <c r="H981" s="10"/>
      <c r="I981" s="10"/>
      <c r="J981" s="10"/>
    </row>
    <row r="982" ht="14.25" customHeight="1">
      <c r="A982" s="41"/>
      <c r="B982" s="16"/>
      <c r="C982" s="10"/>
      <c r="D982" s="10"/>
      <c r="E982" s="10"/>
      <c r="F982" s="10"/>
      <c r="G982" s="10"/>
      <c r="H982" s="10"/>
      <c r="I982" s="10"/>
      <c r="J982" s="10"/>
    </row>
    <row r="983" ht="14.25" customHeight="1">
      <c r="A983" s="41"/>
      <c r="B983" s="16"/>
      <c r="C983" s="10"/>
      <c r="D983" s="10"/>
      <c r="E983" s="10"/>
      <c r="F983" s="10"/>
      <c r="G983" s="10"/>
      <c r="H983" s="10"/>
      <c r="I983" s="10"/>
      <c r="J983" s="10"/>
    </row>
    <row r="984" ht="14.25" customHeight="1">
      <c r="A984" s="41"/>
      <c r="B984" s="16"/>
      <c r="C984" s="10"/>
      <c r="D984" s="10"/>
      <c r="E984" s="10"/>
      <c r="F984" s="10"/>
      <c r="G984" s="10"/>
      <c r="H984" s="10"/>
      <c r="I984" s="10"/>
      <c r="J984" s="10"/>
    </row>
    <row r="985" ht="14.25" customHeight="1">
      <c r="A985" s="41"/>
      <c r="B985" s="16"/>
      <c r="C985" s="10"/>
      <c r="D985" s="10"/>
      <c r="E985" s="10"/>
      <c r="F985" s="10"/>
      <c r="G985" s="10"/>
      <c r="H985" s="10"/>
      <c r="I985" s="10"/>
      <c r="J985" s="10"/>
    </row>
    <row r="986" ht="14.25" customHeight="1">
      <c r="A986" s="41"/>
      <c r="B986" s="16"/>
      <c r="C986" s="10"/>
      <c r="D986" s="10"/>
      <c r="E986" s="10"/>
      <c r="F986" s="10"/>
      <c r="G986" s="10"/>
      <c r="H986" s="10"/>
      <c r="I986" s="10"/>
      <c r="J986" s="10"/>
    </row>
    <row r="987" ht="14.25" customHeight="1">
      <c r="A987" s="41"/>
      <c r="B987" s="16"/>
      <c r="C987" s="10"/>
      <c r="D987" s="10"/>
      <c r="E987" s="10"/>
      <c r="F987" s="10"/>
      <c r="G987" s="10"/>
      <c r="H987" s="10"/>
      <c r="I987" s="10"/>
      <c r="J987" s="10"/>
    </row>
    <row r="988" ht="14.25" customHeight="1">
      <c r="A988" s="41"/>
      <c r="B988" s="16"/>
      <c r="C988" s="10"/>
      <c r="D988" s="10"/>
      <c r="E988" s="10"/>
      <c r="F988" s="10"/>
      <c r="G988" s="10"/>
      <c r="H988" s="10"/>
      <c r="I988" s="10"/>
      <c r="J988" s="10"/>
    </row>
    <row r="989" ht="14.25" customHeight="1">
      <c r="A989" s="41"/>
      <c r="B989" s="16"/>
      <c r="C989" s="10"/>
      <c r="D989" s="10"/>
      <c r="E989" s="10"/>
      <c r="F989" s="10"/>
      <c r="G989" s="10"/>
      <c r="H989" s="10"/>
      <c r="I989" s="10"/>
      <c r="J989" s="10"/>
    </row>
    <row r="990" ht="14.25" customHeight="1">
      <c r="A990" s="41"/>
      <c r="B990" s="16"/>
      <c r="C990" s="10"/>
      <c r="D990" s="10"/>
      <c r="E990" s="10"/>
      <c r="F990" s="10"/>
      <c r="G990" s="10"/>
      <c r="H990" s="10"/>
      <c r="I990" s="10"/>
      <c r="J990" s="10"/>
    </row>
    <row r="991" ht="14.25" customHeight="1">
      <c r="A991" s="41"/>
      <c r="B991" s="16"/>
      <c r="C991" s="10"/>
      <c r="D991" s="10"/>
      <c r="E991" s="10"/>
      <c r="F991" s="10"/>
      <c r="G991" s="10"/>
      <c r="H991" s="10"/>
      <c r="I991" s="10"/>
      <c r="J991" s="10"/>
    </row>
    <row r="992" ht="14.25" customHeight="1">
      <c r="A992" s="41"/>
      <c r="B992" s="16"/>
      <c r="C992" s="10"/>
      <c r="D992" s="10"/>
      <c r="E992" s="10"/>
      <c r="F992" s="10"/>
      <c r="G992" s="10"/>
      <c r="H992" s="10"/>
      <c r="I992" s="10"/>
      <c r="J992" s="10"/>
    </row>
    <row r="993" ht="14.25" customHeight="1">
      <c r="A993" s="41"/>
      <c r="B993" s="16"/>
      <c r="C993" s="10"/>
      <c r="D993" s="10"/>
      <c r="E993" s="10"/>
      <c r="F993" s="10"/>
      <c r="G993" s="10"/>
      <c r="H993" s="10"/>
      <c r="I993" s="10"/>
      <c r="J993" s="10"/>
    </row>
    <row r="994" ht="14.25" customHeight="1">
      <c r="A994" s="41"/>
      <c r="B994" s="16"/>
      <c r="C994" s="10"/>
      <c r="D994" s="10"/>
      <c r="E994" s="10"/>
      <c r="F994" s="10"/>
      <c r="G994" s="10"/>
      <c r="H994" s="10"/>
      <c r="I994" s="10"/>
      <c r="J994" s="10"/>
    </row>
    <row r="995" ht="14.25" customHeight="1">
      <c r="A995" s="41"/>
      <c r="B995" s="16"/>
      <c r="C995" s="10"/>
      <c r="D995" s="10"/>
      <c r="E995" s="10"/>
      <c r="F995" s="10"/>
      <c r="G995" s="10"/>
      <c r="H995" s="10"/>
      <c r="I995" s="10"/>
      <c r="J995" s="10"/>
    </row>
    <row r="996" ht="14.25" customHeight="1">
      <c r="A996" s="41"/>
      <c r="B996" s="16"/>
      <c r="C996" s="10"/>
      <c r="D996" s="10"/>
      <c r="E996" s="10"/>
      <c r="F996" s="10"/>
      <c r="G996" s="10"/>
      <c r="H996" s="10"/>
      <c r="I996" s="10"/>
      <c r="J996" s="10"/>
    </row>
    <row r="997" ht="14.25" customHeight="1">
      <c r="A997" s="41"/>
      <c r="B997" s="16"/>
      <c r="C997" s="10"/>
      <c r="D997" s="10"/>
      <c r="E997" s="10"/>
      <c r="F997" s="10"/>
      <c r="G997" s="10"/>
      <c r="H997" s="10"/>
      <c r="I997" s="10"/>
      <c r="J997" s="10"/>
    </row>
    <row r="998" ht="14.25" customHeight="1">
      <c r="A998" s="41"/>
      <c r="B998" s="16"/>
      <c r="C998" s="10"/>
      <c r="D998" s="10"/>
      <c r="E998" s="10"/>
      <c r="F998" s="10"/>
      <c r="G998" s="10"/>
      <c r="H998" s="10"/>
      <c r="I998" s="10"/>
      <c r="J998" s="10"/>
    </row>
    <row r="999" ht="14.25" customHeight="1">
      <c r="A999" s="41"/>
      <c r="B999" s="16"/>
      <c r="C999" s="10"/>
      <c r="D999" s="10"/>
      <c r="E999" s="10"/>
      <c r="F999" s="10"/>
      <c r="G999" s="10"/>
      <c r="H999" s="10"/>
      <c r="I999" s="10"/>
      <c r="J999" s="10"/>
    </row>
    <row r="1000" ht="14.25" customHeight="1">
      <c r="A1000" s="41"/>
      <c r="B1000" s="16"/>
      <c r="C1000" s="10"/>
      <c r="D1000" s="10"/>
      <c r="E1000" s="10"/>
      <c r="F1000" s="10"/>
      <c r="G1000" s="10"/>
      <c r="H1000" s="10"/>
      <c r="I1000" s="10"/>
      <c r="J1000" s="10"/>
    </row>
  </sheetData>
  <autoFilter ref="$A$1:$J$140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7.57"/>
    <col customWidth="1" min="3" max="3" width="10.86"/>
    <col customWidth="1" min="5" max="5" width="32.14"/>
    <col customWidth="1" min="6" max="6" width="22.57"/>
  </cols>
  <sheetData>
    <row r="1">
      <c r="A1" s="42" t="s">
        <v>295</v>
      </c>
      <c r="B1" s="42" t="s">
        <v>296</v>
      </c>
      <c r="C1" s="42" t="s">
        <v>297</v>
      </c>
      <c r="D1" s="42" t="s">
        <v>298</v>
      </c>
      <c r="E1" s="42" t="s">
        <v>299</v>
      </c>
      <c r="F1" s="42" t="s">
        <v>300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5.43"/>
    <col customWidth="1" min="2" max="2" width="11.43"/>
    <col customWidth="1" min="3" max="24" width="11.86"/>
    <col customWidth="1" min="25" max="25" width="14.0"/>
  </cols>
  <sheetData>
    <row r="1" ht="14.25" customHeight="1">
      <c r="A1" s="43" t="s">
        <v>301</v>
      </c>
      <c r="B1" s="44" t="s">
        <v>12</v>
      </c>
      <c r="C1" s="45" t="s">
        <v>104</v>
      </c>
      <c r="D1" s="45" t="s">
        <v>106</v>
      </c>
      <c r="E1" s="45" t="s">
        <v>108</v>
      </c>
      <c r="F1" s="45" t="s">
        <v>111</v>
      </c>
      <c r="G1" s="46" t="s">
        <v>102</v>
      </c>
      <c r="H1" s="45" t="s">
        <v>115</v>
      </c>
      <c r="I1" s="45" t="s">
        <v>117</v>
      </c>
      <c r="J1" s="45" t="s">
        <v>119</v>
      </c>
      <c r="K1" s="46" t="s">
        <v>113</v>
      </c>
      <c r="L1" s="45" t="s">
        <v>302</v>
      </c>
      <c r="M1" s="47" t="s">
        <v>275</v>
      </c>
      <c r="N1" s="47" t="s">
        <v>277</v>
      </c>
      <c r="O1" s="47" t="s">
        <v>279</v>
      </c>
      <c r="P1" s="47" t="s">
        <v>281</v>
      </c>
      <c r="Q1" s="47" t="s">
        <v>283</v>
      </c>
      <c r="R1" s="46" t="s">
        <v>273</v>
      </c>
      <c r="S1" s="47" t="s">
        <v>287</v>
      </c>
      <c r="T1" s="47" t="s">
        <v>289</v>
      </c>
      <c r="U1" s="47" t="s">
        <v>291</v>
      </c>
      <c r="V1" s="47" t="s">
        <v>293</v>
      </c>
      <c r="W1" s="46" t="s">
        <v>285</v>
      </c>
      <c r="X1" s="47" t="s">
        <v>303</v>
      </c>
      <c r="Y1" s="48" t="s">
        <v>304</v>
      </c>
    </row>
    <row r="2" ht="14.25" customHeight="1">
      <c r="A2" s="49" t="s">
        <v>305</v>
      </c>
      <c r="B2" s="4">
        <v>2019.0</v>
      </c>
      <c r="C2" s="50">
        <v>8.544282321004411</v>
      </c>
      <c r="D2" s="50">
        <v>0.6498412161648912</v>
      </c>
      <c r="E2" s="50">
        <v>9.568893527742695</v>
      </c>
      <c r="F2" s="50">
        <v>9.513600979353026</v>
      </c>
      <c r="G2" s="50">
        <v>7.069154511066257</v>
      </c>
      <c r="H2" s="50">
        <v>4.008368046094199</v>
      </c>
      <c r="I2" s="50">
        <v>4.857068074260182</v>
      </c>
      <c r="J2" s="50">
        <v>8.171128050582048</v>
      </c>
      <c r="K2" s="50">
        <v>5.678854723645475</v>
      </c>
      <c r="L2" s="50">
        <v>6.374004617355866</v>
      </c>
      <c r="M2" s="50">
        <v>3.328279098607484</v>
      </c>
      <c r="N2" s="50">
        <v>6.545814074759489</v>
      </c>
      <c r="O2" s="50">
        <v>4.727586251497745</v>
      </c>
      <c r="P2" s="50">
        <v>9.596412556053814</v>
      </c>
      <c r="Q2" s="50">
        <v>2.663644091810711</v>
      </c>
      <c r="R2" s="50">
        <v>5.372347214545848</v>
      </c>
      <c r="S2" s="50">
        <v>4.737992782867137</v>
      </c>
      <c r="T2" s="50">
        <v>6.373097033595664</v>
      </c>
      <c r="U2" s="50">
        <v>5.484396361529868</v>
      </c>
      <c r="V2" s="50">
        <v>7.919238412378843</v>
      </c>
      <c r="W2" s="50">
        <v>6.128681147592879</v>
      </c>
      <c r="X2" s="50">
        <v>5.750514181069364</v>
      </c>
      <c r="Y2" s="50">
        <v>7.096983850199163</v>
      </c>
    </row>
    <row r="3" ht="14.25" hidden="1" customHeight="1">
      <c r="A3" s="49" t="s">
        <v>306</v>
      </c>
      <c r="B3" s="4">
        <v>2019.0</v>
      </c>
      <c r="C3" s="50">
        <v>8.303359348489991</v>
      </c>
      <c r="D3" s="50">
        <v>0.45331118353027533</v>
      </c>
      <c r="E3" s="50">
        <v>5.578772091038728</v>
      </c>
      <c r="F3" s="50">
        <v>6.773650562784005</v>
      </c>
      <c r="G3" s="50">
        <v>5.27727329646075</v>
      </c>
      <c r="H3" s="50">
        <v>4.1631656224220235</v>
      </c>
      <c r="I3" s="50">
        <v>3.5093219506218065</v>
      </c>
      <c r="J3" s="50">
        <v>3.576493529516043</v>
      </c>
      <c r="K3" s="50">
        <v>3.7496603675199576</v>
      </c>
      <c r="L3" s="50">
        <v>4.513466831990353</v>
      </c>
      <c r="M3" s="50">
        <v>1.305810674425346</v>
      </c>
      <c r="N3" s="50">
        <v>0.0</v>
      </c>
      <c r="O3" s="50">
        <v>3.4561928822748667</v>
      </c>
      <c r="P3" s="50">
        <v>7.219730941704037</v>
      </c>
      <c r="Q3" s="50">
        <v>3.5420799093227546</v>
      </c>
      <c r="R3" s="50">
        <v>3.104762881545401</v>
      </c>
      <c r="S3" s="50">
        <v>3.259432421600328</v>
      </c>
      <c r="T3" s="50">
        <v>4.706651739265403</v>
      </c>
      <c r="U3" s="50">
        <v>2.4159860879536854</v>
      </c>
      <c r="V3" s="50">
        <v>1.7910709003728416</v>
      </c>
      <c r="W3" s="50">
        <v>3.043285287298065</v>
      </c>
      <c r="X3" s="50">
        <v>3.0740240844217324</v>
      </c>
      <c r="Y3" s="50">
        <v>5.194490030233315</v>
      </c>
    </row>
    <row r="4" ht="14.25" customHeight="1">
      <c r="A4" s="49" t="s">
        <v>307</v>
      </c>
      <c r="B4" s="4">
        <v>2019.0</v>
      </c>
      <c r="C4" s="50">
        <v>8.137669568991132</v>
      </c>
      <c r="D4" s="50">
        <v>0.5882317281913777</v>
      </c>
      <c r="E4" s="50">
        <v>7.074534601798414</v>
      </c>
      <c r="F4" s="50">
        <v>7.415283653728405</v>
      </c>
      <c r="G4" s="50">
        <v>5.803929888177332</v>
      </c>
      <c r="H4" s="50">
        <v>3.5794112536491136</v>
      </c>
      <c r="I4" s="50">
        <v>3.549589889978175</v>
      </c>
      <c r="J4" s="50">
        <v>6.906281392188146</v>
      </c>
      <c r="K4" s="50">
        <v>4.678427511938478</v>
      </c>
      <c r="L4" s="50">
        <v>5.241178700057905</v>
      </c>
      <c r="M4" s="50">
        <v>3.543171469499705</v>
      </c>
      <c r="N4" s="50">
        <v>4.925489741476374</v>
      </c>
      <c r="O4" s="50">
        <v>4.865892461339384</v>
      </c>
      <c r="P4" s="50">
        <v>5.739910313901345</v>
      </c>
      <c r="Q4" s="50">
        <v>2.768489657126665</v>
      </c>
      <c r="R4" s="50">
        <v>4.3685907286686945</v>
      </c>
      <c r="S4" s="50">
        <v>4.558207219579002</v>
      </c>
      <c r="T4" s="50">
        <v>3.3209661280184473</v>
      </c>
      <c r="U4" s="50">
        <v>7.555947549922481</v>
      </c>
      <c r="V4" s="50">
        <v>7.476102299777515</v>
      </c>
      <c r="W4" s="50">
        <v>5.727805799324361</v>
      </c>
      <c r="X4" s="50">
        <v>5.048198263996529</v>
      </c>
      <c r="Y4" s="50">
        <v>6.336382772625715</v>
      </c>
    </row>
    <row r="5" ht="14.25" customHeight="1">
      <c r="A5" s="51" t="s">
        <v>308</v>
      </c>
      <c r="B5" s="4">
        <v>2019.0</v>
      </c>
      <c r="C5" s="50">
        <v>8.07940278249067</v>
      </c>
      <c r="D5" s="50">
        <v>0.40860287121914723</v>
      </c>
      <c r="E5" s="50">
        <v>6.663432768290594</v>
      </c>
      <c r="F5" s="50">
        <v>7.126196777328044</v>
      </c>
      <c r="G5" s="50">
        <v>5.5694087998321145</v>
      </c>
      <c r="H5" s="50">
        <v>8.311932919052571</v>
      </c>
      <c r="I5" s="50">
        <v>7.93592008162166</v>
      </c>
      <c r="J5" s="50">
        <v>9.545588843585653</v>
      </c>
      <c r="K5" s="50">
        <v>8.597813948086626</v>
      </c>
      <c r="L5" s="50">
        <v>7.083611373959371</v>
      </c>
      <c r="M5" s="50">
        <v>4.787310829977217</v>
      </c>
      <c r="N5" s="50">
        <v>10.0</v>
      </c>
      <c r="O5" s="50">
        <v>10.0</v>
      </c>
      <c r="P5" s="50">
        <v>5.739910313901345</v>
      </c>
      <c r="Q5" s="50">
        <v>2.439784641541513</v>
      </c>
      <c r="R5" s="50">
        <v>6.593401157084015</v>
      </c>
      <c r="S5" s="50">
        <v>0.9294133867250365</v>
      </c>
      <c r="T5" s="50">
        <v>4.026245585706763</v>
      </c>
      <c r="U5" s="50">
        <v>0.826689873023891</v>
      </c>
      <c r="V5" s="50">
        <v>1.7391960537894324</v>
      </c>
      <c r="W5" s="50">
        <v>1.8803862248112808</v>
      </c>
      <c r="X5" s="50">
        <v>4.236893690947649</v>
      </c>
      <c r="Y5" s="50">
        <v>6.199191018298307</v>
      </c>
    </row>
    <row r="6" ht="14.25" customHeight="1">
      <c r="A6" s="49" t="s">
        <v>309</v>
      </c>
      <c r="B6" s="4">
        <v>2019.0</v>
      </c>
      <c r="C6" s="50">
        <v>7.302330398823233</v>
      </c>
      <c r="D6" s="50">
        <v>0.4892008825554832</v>
      </c>
      <c r="E6" s="50">
        <v>7.316308140264348</v>
      </c>
      <c r="F6" s="50">
        <v>8.93535706587533</v>
      </c>
      <c r="G6" s="50">
        <v>6.010799121879598</v>
      </c>
      <c r="H6" s="50">
        <v>5.476631779042514</v>
      </c>
      <c r="I6" s="50">
        <v>5.214153739395432</v>
      </c>
      <c r="J6" s="50">
        <v>4.384269928499675</v>
      </c>
      <c r="K6" s="50">
        <v>5.025018482312541</v>
      </c>
      <c r="L6" s="50">
        <v>5.51790880209607</v>
      </c>
      <c r="M6" s="50">
        <v>1.7780030891335408</v>
      </c>
      <c r="N6" s="50">
        <v>1.2162940720232576</v>
      </c>
      <c r="O6" s="50">
        <v>2.255520335061215</v>
      </c>
      <c r="P6" s="50">
        <v>5.9192825112107625</v>
      </c>
      <c r="Q6" s="50">
        <v>4.277415698498158</v>
      </c>
      <c r="R6" s="50">
        <v>3.089303141185387</v>
      </c>
      <c r="S6" s="50">
        <v>3.151673841875489</v>
      </c>
      <c r="T6" s="50">
        <v>3.900897698232831</v>
      </c>
      <c r="U6" s="50">
        <v>2.60309655759906</v>
      </c>
      <c r="V6" s="50">
        <v>3.1527823962753803</v>
      </c>
      <c r="W6" s="50">
        <v>3.2021126234956903</v>
      </c>
      <c r="X6" s="50">
        <v>3.1457078823405387</v>
      </c>
      <c r="Y6" s="50">
        <v>5.772318339343931</v>
      </c>
    </row>
    <row r="7" ht="14.25" customHeight="1">
      <c r="A7" s="51" t="s">
        <v>310</v>
      </c>
      <c r="B7" s="4">
        <v>2019.0</v>
      </c>
      <c r="C7" s="50">
        <v>7.177912833889215</v>
      </c>
      <c r="D7" s="50">
        <v>0.4916978438444477</v>
      </c>
      <c r="E7" s="50">
        <v>7.09192711376157</v>
      </c>
      <c r="F7" s="50">
        <v>7.984442141914703</v>
      </c>
      <c r="G7" s="50">
        <v>5.686494983352484</v>
      </c>
      <c r="H7" s="50">
        <v>3.8020869331940634</v>
      </c>
      <c r="I7" s="50">
        <v>4.33382446247745</v>
      </c>
      <c r="J7" s="50">
        <v>7.878922176918986</v>
      </c>
      <c r="K7" s="50">
        <v>5.338277857530166</v>
      </c>
      <c r="L7" s="50">
        <v>5.512386420441324</v>
      </c>
      <c r="M7" s="50">
        <v>2.789845161713447</v>
      </c>
      <c r="N7" s="50">
        <v>3.5979422191110153</v>
      </c>
      <c r="O7" s="50">
        <v>4.196748915009362</v>
      </c>
      <c r="P7" s="50">
        <v>6.09865470852018</v>
      </c>
      <c r="Q7" s="50">
        <v>3.20204023802777</v>
      </c>
      <c r="R7" s="50">
        <v>3.9770462484763556</v>
      </c>
      <c r="S7" s="50">
        <v>2.2641632813202444</v>
      </c>
      <c r="T7" s="50">
        <v>2.3078636727313606</v>
      </c>
      <c r="U7" s="50">
        <v>2.1323820633368635</v>
      </c>
      <c r="V7" s="50">
        <v>2.555585456811552</v>
      </c>
      <c r="W7" s="50">
        <v>2.314998618550005</v>
      </c>
      <c r="X7" s="50">
        <v>3.1460224335131803</v>
      </c>
      <c r="Y7" s="50">
        <v>5.872891260469042</v>
      </c>
    </row>
    <row r="8" ht="14.25" hidden="1" customHeight="1">
      <c r="A8" s="49" t="s">
        <v>311</v>
      </c>
      <c r="B8" s="4">
        <v>2019.0</v>
      </c>
      <c r="C8" s="50">
        <v>7.113857886027973</v>
      </c>
      <c r="D8" s="50">
        <v>0.530309727888127</v>
      </c>
      <c r="E8" s="50">
        <v>7.231059969207195</v>
      </c>
      <c r="F8" s="50">
        <v>8.592928016580974</v>
      </c>
      <c r="G8" s="50">
        <v>5.867038899926067</v>
      </c>
      <c r="H8" s="50">
        <v>2.4776345519760126</v>
      </c>
      <c r="I8" s="50">
        <v>2.8931954855748754</v>
      </c>
      <c r="J8" s="50">
        <v>5.390888140400638</v>
      </c>
      <c r="K8" s="50">
        <v>3.587239392650508</v>
      </c>
      <c r="L8" s="50">
        <v>4.7271391462882875</v>
      </c>
      <c r="M8" s="50">
        <v>3.089578053933147</v>
      </c>
      <c r="N8" s="50">
        <v>2.4119880258156194</v>
      </c>
      <c r="O8" s="50">
        <v>3.468170853268423</v>
      </c>
      <c r="P8" s="50">
        <v>6.771300448430493</v>
      </c>
      <c r="Q8" s="50">
        <v>3.2558798526494757</v>
      </c>
      <c r="R8" s="50">
        <v>3.799383446819432</v>
      </c>
      <c r="S8" s="50">
        <v>2.678557904257959</v>
      </c>
      <c r="T8" s="50">
        <v>3.570335403820153</v>
      </c>
      <c r="U8" s="50">
        <v>1.8937900049192438</v>
      </c>
      <c r="V8" s="50">
        <v>4.757338420196754</v>
      </c>
      <c r="W8" s="50">
        <v>3.225005433298527</v>
      </c>
      <c r="X8" s="50">
        <v>3.51219444005898</v>
      </c>
      <c r="Y8" s="50">
        <v>6.017328173279534</v>
      </c>
    </row>
    <row r="9" ht="14.25" hidden="1" customHeight="1">
      <c r="A9" s="49" t="s">
        <v>312</v>
      </c>
      <c r="B9" s="4">
        <v>2019.0</v>
      </c>
      <c r="C9" s="50">
        <v>7.098744485917884</v>
      </c>
      <c r="D9" s="50">
        <v>0.3486206604650056</v>
      </c>
      <c r="E9" s="50">
        <v>5.460028673378133</v>
      </c>
      <c r="F9" s="50">
        <v>6.855535873299441</v>
      </c>
      <c r="G9" s="50">
        <v>4.940732423265116</v>
      </c>
      <c r="H9" s="50">
        <v>3.3449083497554346</v>
      </c>
      <c r="I9" s="50">
        <v>3.524647242296713</v>
      </c>
      <c r="J9" s="50">
        <v>3.339833362878922</v>
      </c>
      <c r="K9" s="50">
        <v>3.40312965164369</v>
      </c>
      <c r="L9" s="50">
        <v>4.171931037454403</v>
      </c>
      <c r="M9" s="50">
        <v>1.2326944965616229</v>
      </c>
      <c r="N9" s="50">
        <v>0.0</v>
      </c>
      <c r="O9" s="50">
        <v>1.8882384296704293</v>
      </c>
      <c r="P9" s="50">
        <v>7.219730941704037</v>
      </c>
      <c r="Q9" s="50">
        <v>2.3080192689147068</v>
      </c>
      <c r="R9" s="50">
        <v>2.529736627370159</v>
      </c>
      <c r="S9" s="50">
        <v>2.6923113173092554</v>
      </c>
      <c r="T9" s="50">
        <v>0.0</v>
      </c>
      <c r="U9" s="50">
        <v>0.0</v>
      </c>
      <c r="V9" s="50">
        <v>1.3194966421751584</v>
      </c>
      <c r="W9" s="50">
        <v>1.0029519898711035</v>
      </c>
      <c r="X9" s="50">
        <v>1.7663443086206314</v>
      </c>
      <c r="Y9" s="50">
        <v>5.070143617096836</v>
      </c>
    </row>
    <row r="10" ht="14.25" hidden="1" customHeight="1">
      <c r="A10" s="49" t="s">
        <v>313</v>
      </c>
      <c r="B10" s="4">
        <v>2019.0</v>
      </c>
      <c r="C10" s="50">
        <v>6.996946046827283</v>
      </c>
      <c r="D10" s="50">
        <v>0.4407408459081608</v>
      </c>
      <c r="E10" s="50">
        <v>5.9627140676197135</v>
      </c>
      <c r="F10" s="50">
        <v>7.611384428329591</v>
      </c>
      <c r="G10" s="50">
        <v>5.252946347171187</v>
      </c>
      <c r="H10" s="50">
        <v>3.8098258657378796</v>
      </c>
      <c r="I10" s="50">
        <v>6.748645199328878</v>
      </c>
      <c r="J10" s="50">
        <v>5.486911304142291</v>
      </c>
      <c r="K10" s="50">
        <v>5.34846078973635</v>
      </c>
      <c r="L10" s="50">
        <v>5.300703568453768</v>
      </c>
      <c r="M10" s="50">
        <v>1.1437373537121474</v>
      </c>
      <c r="N10" s="50">
        <v>0.0</v>
      </c>
      <c r="O10" s="50">
        <v>2.442145707846883</v>
      </c>
      <c r="P10" s="50">
        <v>7.354260089686099</v>
      </c>
      <c r="Q10" s="50">
        <v>3.5279115896854627</v>
      </c>
      <c r="R10" s="50">
        <v>2.8936109481861187</v>
      </c>
      <c r="S10" s="50">
        <v>0.9083713560431141</v>
      </c>
      <c r="T10" s="50">
        <v>1.311696967387976</v>
      </c>
      <c r="U10" s="50">
        <v>2.154596040073278</v>
      </c>
      <c r="V10" s="50">
        <v>1.776267397572202</v>
      </c>
      <c r="W10" s="50">
        <v>1.5377329402691426</v>
      </c>
      <c r="X10" s="50">
        <v>2.2156719442276307</v>
      </c>
      <c r="Y10" s="50">
        <v>5.2374750816550915</v>
      </c>
    </row>
    <row r="11" ht="14.25" hidden="1" customHeight="1">
      <c r="A11" s="51" t="s">
        <v>314</v>
      </c>
      <c r="B11" s="4">
        <v>2019.0</v>
      </c>
      <c r="C11" s="50">
        <v>6.620291822192059</v>
      </c>
      <c r="D11" s="50">
        <v>0.3974464874687882</v>
      </c>
      <c r="E11" s="50">
        <v>5.7563656570313</v>
      </c>
      <c r="F11" s="50">
        <v>6.226105408723734</v>
      </c>
      <c r="G11" s="50">
        <v>4.75005234385397</v>
      </c>
      <c r="H11" s="50">
        <v>3.414158548206536</v>
      </c>
      <c r="I11" s="50">
        <v>4.021783569152156</v>
      </c>
      <c r="J11" s="50">
        <v>3.853631152868877</v>
      </c>
      <c r="K11" s="50">
        <v>3.7631910900758565</v>
      </c>
      <c r="L11" s="50">
        <v>4.256621716964913</v>
      </c>
      <c r="M11" s="50">
        <v>0.5606025901752876</v>
      </c>
      <c r="N11" s="50">
        <v>2.205103728621403</v>
      </c>
      <c r="O11" s="50">
        <v>3.721161960628298</v>
      </c>
      <c r="P11" s="50">
        <v>2.9596412556053813</v>
      </c>
      <c r="Q11" s="50">
        <v>2.7146500425049593</v>
      </c>
      <c r="R11" s="50">
        <v>2.4322319155070655</v>
      </c>
      <c r="S11" s="50">
        <v>0.0</v>
      </c>
      <c r="T11" s="50">
        <v>0.0</v>
      </c>
      <c r="U11" s="50">
        <v>0.0</v>
      </c>
      <c r="V11" s="50">
        <v>0.6909992708135244</v>
      </c>
      <c r="W11" s="50">
        <v>0.1727498177033811</v>
      </c>
      <c r="X11" s="50">
        <v>1.3024908666052233</v>
      </c>
      <c r="Y11" s="50">
        <v>5.0753119695548365</v>
      </c>
    </row>
    <row r="12" ht="14.25" customHeight="1">
      <c r="A12" s="51" t="s">
        <v>315</v>
      </c>
      <c r="B12" s="4">
        <v>2019.0</v>
      </c>
      <c r="C12" s="50">
        <v>6.354440248363945</v>
      </c>
      <c r="D12" s="50">
        <v>0.4270731256331944</v>
      </c>
      <c r="E12" s="50">
        <v>7.059517779714187</v>
      </c>
      <c r="F12" s="50">
        <v>7.317938871766189</v>
      </c>
      <c r="G12" s="50">
        <v>5.289742506369379</v>
      </c>
      <c r="H12" s="50">
        <v>4.584950851588147</v>
      </c>
      <c r="I12" s="50">
        <v>6.032754209375087</v>
      </c>
      <c r="J12" s="50">
        <v>10.0</v>
      </c>
      <c r="K12" s="50">
        <v>6.87256835365441</v>
      </c>
      <c r="L12" s="50">
        <v>6.081155430011895</v>
      </c>
      <c r="M12" s="50">
        <v>6.5104933172180255</v>
      </c>
      <c r="N12" s="50">
        <v>7.812828919442618</v>
      </c>
      <c r="O12" s="50">
        <v>6.390936002762824</v>
      </c>
      <c r="P12" s="50">
        <v>4.349775784753363</v>
      </c>
      <c r="Q12" s="50">
        <v>3.18645508642675</v>
      </c>
      <c r="R12" s="50">
        <v>5.650097822120717</v>
      </c>
      <c r="S12" s="50">
        <v>2.892097643493572</v>
      </c>
      <c r="T12" s="50">
        <v>4.872252921278931</v>
      </c>
      <c r="U12" s="50">
        <v>1.4291379127603805</v>
      </c>
      <c r="V12" s="50">
        <v>3.5220529166580894</v>
      </c>
      <c r="W12" s="50">
        <v>3.178885348547743</v>
      </c>
      <c r="X12" s="50">
        <v>4.41449158533423</v>
      </c>
      <c r="Y12" s="50">
        <v>5.793851293942616</v>
      </c>
    </row>
    <row r="13" ht="14.25" hidden="1" customHeight="1">
      <c r="A13" s="51" t="s">
        <v>316</v>
      </c>
      <c r="B13" s="4">
        <v>2019.0</v>
      </c>
      <c r="C13" s="50">
        <v>6.094333220223957</v>
      </c>
      <c r="D13" s="50">
        <v>0.43361209601239736</v>
      </c>
      <c r="E13" s="50">
        <v>6.02442272823159</v>
      </c>
      <c r="F13" s="50">
        <v>6.5637440853932025</v>
      </c>
      <c r="G13" s="50">
        <v>4.779028032465287</v>
      </c>
      <c r="H13" s="50">
        <v>6.7955677854276475</v>
      </c>
      <c r="I13" s="50">
        <v>5.573426132276102</v>
      </c>
      <c r="J13" s="50">
        <v>5.170478047627489</v>
      </c>
      <c r="K13" s="50">
        <v>5.846490655110413</v>
      </c>
      <c r="L13" s="50">
        <v>5.3127593437878495</v>
      </c>
      <c r="M13" s="50">
        <v>1.9045627802808072</v>
      </c>
      <c r="N13" s="50">
        <v>0.0</v>
      </c>
      <c r="O13" s="50">
        <v>3.763578269158333</v>
      </c>
      <c r="P13" s="50">
        <v>10.0</v>
      </c>
      <c r="Q13" s="50">
        <v>2.9540946443751777</v>
      </c>
      <c r="R13" s="50">
        <v>3.7244471387628635</v>
      </c>
      <c r="S13" s="50">
        <v>3.0252579751423148</v>
      </c>
      <c r="T13" s="50">
        <v>0.0</v>
      </c>
      <c r="U13" s="50">
        <v>0.44848183579312745</v>
      </c>
      <c r="V13" s="50">
        <v>1.2804904600125677</v>
      </c>
      <c r="W13" s="50">
        <v>1.1885575677370026</v>
      </c>
      <c r="X13" s="50">
        <v>2.456502353249933</v>
      </c>
      <c r="Y13" s="50">
        <v>5.486460760035094</v>
      </c>
    </row>
    <row r="14" ht="14.25" hidden="1" customHeight="1">
      <c r="A14" s="51" t="s">
        <v>317</v>
      </c>
      <c r="B14" s="4">
        <v>2019.0</v>
      </c>
      <c r="C14" s="50">
        <v>5.812690872073296</v>
      </c>
      <c r="D14" s="50">
        <v>0.4667298510989405</v>
      </c>
      <c r="E14" s="50">
        <v>5.748648334707244</v>
      </c>
      <c r="F14" s="50">
        <v>8.151032190835135</v>
      </c>
      <c r="G14" s="50">
        <v>5.044775312178654</v>
      </c>
      <c r="H14" s="50">
        <v>1.3626439423513401</v>
      </c>
      <c r="I14" s="50">
        <v>2.3299963241136927</v>
      </c>
      <c r="J14" s="50">
        <v>3.339833362878922</v>
      </c>
      <c r="K14" s="50">
        <v>2.344157876447985</v>
      </c>
      <c r="L14" s="50">
        <v>3.6944665943133197</v>
      </c>
      <c r="M14" s="50">
        <v>0.41462063104338753</v>
      </c>
      <c r="N14" s="50">
        <v>0.815445304303052</v>
      </c>
      <c r="O14" s="50">
        <v>0.9980376583857586</v>
      </c>
      <c r="P14" s="50">
        <v>6.233183856502241</v>
      </c>
      <c r="Q14" s="50">
        <v>0.9917823746103713</v>
      </c>
      <c r="R14" s="50">
        <v>1.8906139649689622</v>
      </c>
      <c r="S14" s="50">
        <v>0.9055672921893458</v>
      </c>
      <c r="T14" s="50">
        <v>1.307647872236658</v>
      </c>
      <c r="U14" s="50">
        <v>0.26849312354341226</v>
      </c>
      <c r="V14" s="50">
        <v>0.8248716337057326</v>
      </c>
      <c r="W14" s="50">
        <v>0.8266449804187872</v>
      </c>
      <c r="X14" s="50">
        <v>1.3586294726938748</v>
      </c>
      <c r="Y14" s="50">
        <v>4.543916690324485</v>
      </c>
    </row>
    <row r="15" ht="14.25" hidden="1" customHeight="1">
      <c r="A15" s="51" t="s">
        <v>318</v>
      </c>
      <c r="B15" s="4">
        <v>2019.0</v>
      </c>
      <c r="C15" s="50">
        <v>5.208686800135731</v>
      </c>
      <c r="D15" s="50">
        <v>0.5252796252243916</v>
      </c>
      <c r="E15" s="50">
        <v>3.6269514219492565</v>
      </c>
      <c r="F15" s="50">
        <v>5.083352380977518</v>
      </c>
      <c r="G15" s="50">
        <v>3.611067557071724</v>
      </c>
      <c r="H15" s="50">
        <v>1.9486354572040145</v>
      </c>
      <c r="I15" s="50">
        <v>2.8551294385113994</v>
      </c>
      <c r="J15" s="50">
        <v>4.696862258464812</v>
      </c>
      <c r="K15" s="50">
        <v>3.1668757180600755</v>
      </c>
      <c r="L15" s="50">
        <v>3.3889716375658994</v>
      </c>
      <c r="M15" s="50">
        <v>2.1506065697855385</v>
      </c>
      <c r="N15" s="50">
        <v>2.226133961140564</v>
      </c>
      <c r="O15" s="50">
        <v>2.815424118056498</v>
      </c>
      <c r="P15" s="50">
        <v>0.0</v>
      </c>
      <c r="Q15" s="50">
        <v>3.3833947293850946</v>
      </c>
      <c r="R15" s="50">
        <v>2.1151118756735388</v>
      </c>
      <c r="S15" s="50">
        <v>0.3296217976612214</v>
      </c>
      <c r="T15" s="50">
        <v>0.3569827825653133</v>
      </c>
      <c r="U15" s="50">
        <v>1.1727612532659957</v>
      </c>
      <c r="V15" s="50">
        <v>1.4588184938574704</v>
      </c>
      <c r="W15" s="50">
        <v>0.8295460818375002</v>
      </c>
      <c r="X15" s="50">
        <v>1.4723289787555194</v>
      </c>
      <c r="Y15" s="50">
        <v>5.310087567768863</v>
      </c>
    </row>
    <row r="16" ht="14.25" hidden="1" customHeight="1">
      <c r="A16" s="51" t="s">
        <v>319</v>
      </c>
      <c r="B16" s="4">
        <v>2019.0</v>
      </c>
      <c r="C16" s="50">
        <v>5.039022734984729</v>
      </c>
      <c r="D16" s="50">
        <v>0.4987704813450358</v>
      </c>
      <c r="E16" s="50">
        <v>3.8847664507645323</v>
      </c>
      <c r="F16" s="50">
        <v>4.778276124460811</v>
      </c>
      <c r="G16" s="50">
        <v>3.5502089478887773</v>
      </c>
      <c r="H16" s="50">
        <v>2.7799804681454887</v>
      </c>
      <c r="I16" s="50">
        <v>3.662256411873962</v>
      </c>
      <c r="J16" s="50">
        <v>5.90911776871713</v>
      </c>
      <c r="K16" s="50">
        <v>4.117118216245527</v>
      </c>
      <c r="L16" s="50">
        <v>3.8336635820671523</v>
      </c>
      <c r="M16" s="50">
        <v>2.426975325459275</v>
      </c>
      <c r="N16" s="50">
        <v>2.6035615797745395</v>
      </c>
      <c r="O16" s="50">
        <v>2.5749852098391917</v>
      </c>
      <c r="P16" s="50">
        <v>6.278026905829596</v>
      </c>
      <c r="Q16" s="50">
        <v>3.8580334372343437</v>
      </c>
      <c r="R16" s="50">
        <v>3.5483164916273893</v>
      </c>
      <c r="S16" s="50">
        <v>0.3212559917879926</v>
      </c>
      <c r="T16" s="50">
        <v>0.6958451090187047</v>
      </c>
      <c r="U16" s="50">
        <v>0.28574913902972465</v>
      </c>
      <c r="V16" s="50">
        <v>0.6727278726419595</v>
      </c>
      <c r="W16" s="50">
        <v>0.49389452811959544</v>
      </c>
      <c r="X16" s="50">
        <v>2.0211055098734922</v>
      </c>
      <c r="Y16" s="50">
        <v>4.816537675432554</v>
      </c>
    </row>
    <row r="17" ht="14.25" hidden="1" customHeight="1">
      <c r="A17" s="51" t="s">
        <v>320</v>
      </c>
      <c r="B17" s="4">
        <v>2019.0</v>
      </c>
      <c r="C17" s="50">
        <v>4.651568680391791</v>
      </c>
      <c r="D17" s="50">
        <v>0.6152846351509953</v>
      </c>
      <c r="E17" s="50">
        <v>6.153825053899039</v>
      </c>
      <c r="F17" s="50">
        <v>7.431181066766151</v>
      </c>
      <c r="G17" s="50">
        <v>4.712964859051994</v>
      </c>
      <c r="H17" s="50">
        <v>2.990984664036371</v>
      </c>
      <c r="I17" s="50">
        <v>2.7537514057535506</v>
      </c>
      <c r="J17" s="50">
        <v>6.764462565738936</v>
      </c>
      <c r="K17" s="50">
        <v>4.1697328785096195</v>
      </c>
      <c r="L17" s="50">
        <v>4.441348868780807</v>
      </c>
      <c r="M17" s="50">
        <v>3.0419735062786724</v>
      </c>
      <c r="N17" s="50">
        <v>2.632400906625048</v>
      </c>
      <c r="O17" s="50">
        <v>3.8209438428949696</v>
      </c>
      <c r="P17" s="50">
        <v>7.309417040358745</v>
      </c>
      <c r="Q17" s="50">
        <v>3.0603570416548598</v>
      </c>
      <c r="R17" s="50">
        <v>3.9730184675624587</v>
      </c>
      <c r="S17" s="50">
        <v>1.7717154781936828</v>
      </c>
      <c r="T17" s="50">
        <v>1.3431464425746507</v>
      </c>
      <c r="U17" s="50">
        <v>0.4727689307973283</v>
      </c>
      <c r="V17" s="50">
        <v>2.5812618300154395</v>
      </c>
      <c r="W17" s="50">
        <v>1.5422231703952756</v>
      </c>
      <c r="X17" s="50">
        <v>2.757620818978867</v>
      </c>
      <c r="Y17" s="50">
        <v>5.745094290518561</v>
      </c>
    </row>
    <row r="18" ht="14.25" hidden="1" customHeight="1">
      <c r="A18" s="49" t="s">
        <v>321</v>
      </c>
      <c r="B18" s="4">
        <v>2019.0</v>
      </c>
      <c r="C18" s="50">
        <v>4.642008822531388</v>
      </c>
      <c r="D18" s="50">
        <v>0.4380304804632197</v>
      </c>
      <c r="E18" s="50">
        <v>3.8144049576733523</v>
      </c>
      <c r="F18" s="50">
        <v>6.201572726192477</v>
      </c>
      <c r="G18" s="50">
        <v>3.7740042467151094</v>
      </c>
      <c r="H18" s="50">
        <v>2.5346151436495</v>
      </c>
      <c r="I18" s="50">
        <v>2.7910016001630487</v>
      </c>
      <c r="J18" s="50">
        <v>3.877858535720617</v>
      </c>
      <c r="K18" s="50">
        <v>3.0678250931777225</v>
      </c>
      <c r="L18" s="50">
        <v>3.4209146699464155</v>
      </c>
      <c r="M18" s="50">
        <v>0.5618465942906079</v>
      </c>
      <c r="N18" s="50">
        <v>0.0</v>
      </c>
      <c r="O18" s="50">
        <v>0.819652614950547</v>
      </c>
      <c r="P18" s="50">
        <v>5.9192825112107625</v>
      </c>
      <c r="Q18" s="50">
        <v>5.920940776423916</v>
      </c>
      <c r="R18" s="50">
        <v>2.644344499375167</v>
      </c>
      <c r="S18" s="50">
        <v>0.0</v>
      </c>
      <c r="T18" s="50">
        <v>0.0</v>
      </c>
      <c r="U18" s="50">
        <v>0.29106500884665887</v>
      </c>
      <c r="V18" s="50">
        <v>0.4762680553032842</v>
      </c>
      <c r="W18" s="50">
        <v>0.19183326603748577</v>
      </c>
      <c r="X18" s="50">
        <v>1.4180888827063263</v>
      </c>
      <c r="Y18" s="50">
        <v>4.500518380879848</v>
      </c>
    </row>
    <row r="19" ht="14.25" hidden="1" customHeight="1">
      <c r="A19" s="49" t="s">
        <v>322</v>
      </c>
      <c r="B19" s="4">
        <v>2019.0</v>
      </c>
      <c r="C19" s="50">
        <v>4.540210383440787</v>
      </c>
      <c r="D19" s="50">
        <v>0.4603354112377993</v>
      </c>
      <c r="E19" s="50">
        <v>5.885524359698251</v>
      </c>
      <c r="F19" s="50">
        <v>6.998254642270995</v>
      </c>
      <c r="G19" s="50">
        <v>4.471081199161958</v>
      </c>
      <c r="H19" s="50">
        <v>1.9158171471766523</v>
      </c>
      <c r="I19" s="50">
        <v>0.9307574630803928</v>
      </c>
      <c r="J19" s="50">
        <v>2.954558884358565</v>
      </c>
      <c r="K19" s="50">
        <v>1.93371116487187</v>
      </c>
      <c r="L19" s="50">
        <v>3.202396182016914</v>
      </c>
      <c r="M19" s="50">
        <v>0.0</v>
      </c>
      <c r="N19" s="50">
        <v>0.0</v>
      </c>
      <c r="O19" s="50">
        <v>0.5723694363055544</v>
      </c>
      <c r="P19" s="50">
        <v>0.35874439461883406</v>
      </c>
      <c r="Q19" s="50">
        <v>0.0</v>
      </c>
      <c r="R19" s="50">
        <v>0.18622276618487768</v>
      </c>
      <c r="S19" s="50">
        <v>0.0</v>
      </c>
      <c r="T19" s="50">
        <v>0.0</v>
      </c>
      <c r="U19" s="50">
        <v>0.0</v>
      </c>
      <c r="V19" s="50">
        <v>0.49491291408528915</v>
      </c>
      <c r="W19" s="50">
        <v>0.12372822852132229</v>
      </c>
      <c r="X19" s="50">
        <v>0.15497549735309998</v>
      </c>
      <c r="Y19" s="50">
        <v>4.4103799125240775</v>
      </c>
    </row>
    <row r="20" ht="14.25" hidden="1" customHeight="1">
      <c r="A20" s="49" t="s">
        <v>323</v>
      </c>
      <c r="B20" s="4">
        <v>2019.0</v>
      </c>
      <c r="C20" s="50">
        <v>4.4689514760773665</v>
      </c>
      <c r="D20" s="50">
        <v>0.36899868235720223</v>
      </c>
      <c r="E20" s="50">
        <v>3.2161412932658644</v>
      </c>
      <c r="F20" s="50">
        <v>3.3279075087636762</v>
      </c>
      <c r="G20" s="50">
        <v>2.8454997401160274</v>
      </c>
      <c r="H20" s="50">
        <v>1.776513601426285</v>
      </c>
      <c r="I20" s="50">
        <v>2.812016630049339</v>
      </c>
      <c r="J20" s="50">
        <v>3.323878744903386</v>
      </c>
      <c r="K20" s="50">
        <v>2.6374696587930035</v>
      </c>
      <c r="L20" s="50">
        <v>2.7414846994545155</v>
      </c>
      <c r="M20" s="50">
        <v>0.9912661406867106</v>
      </c>
      <c r="N20" s="50">
        <v>0.0</v>
      </c>
      <c r="O20" s="50">
        <v>2.603004105832463</v>
      </c>
      <c r="P20" s="50">
        <v>3.901345291479821</v>
      </c>
      <c r="Q20" s="50">
        <v>2.3618588835364127</v>
      </c>
      <c r="R20" s="50">
        <v>1.9714948843070814</v>
      </c>
      <c r="S20" s="50">
        <v>0.5773362459729044</v>
      </c>
      <c r="T20" s="50">
        <v>0.0</v>
      </c>
      <c r="U20" s="50">
        <v>0.0</v>
      </c>
      <c r="V20" s="50">
        <v>0.5316056476952563</v>
      </c>
      <c r="W20" s="50">
        <v>0.2772354734170402</v>
      </c>
      <c r="X20" s="50">
        <v>1.1243651788620608</v>
      </c>
      <c r="Y20" s="50">
        <v>4.378391869075181</v>
      </c>
    </row>
    <row r="21" ht="14.25" hidden="1" customHeight="1">
      <c r="A21" s="49" t="s">
        <v>324</v>
      </c>
      <c r="B21" s="4">
        <v>2019.0</v>
      </c>
      <c r="C21" s="50">
        <v>4.390241166730281</v>
      </c>
      <c r="D21" s="50">
        <v>0.4570550350955787</v>
      </c>
      <c r="E21" s="50">
        <v>5.158312862928622</v>
      </c>
      <c r="F21" s="50">
        <v>6.76160101822873</v>
      </c>
      <c r="G21" s="50">
        <v>4.191802520745803</v>
      </c>
      <c r="H21" s="50">
        <v>2.258126125596157</v>
      </c>
      <c r="I21" s="50">
        <v>2.889207209589817</v>
      </c>
      <c r="J21" s="50">
        <v>5.138273355787981</v>
      </c>
      <c r="K21" s="50">
        <v>3.4285355636579844</v>
      </c>
      <c r="L21" s="50">
        <v>3.810169042201894</v>
      </c>
      <c r="M21" s="50">
        <v>0.4739914568653467</v>
      </c>
      <c r="N21" s="50">
        <v>1.3983172043608338</v>
      </c>
      <c r="O21" s="50">
        <v>1.1668804714512127</v>
      </c>
      <c r="P21" s="50">
        <v>5.022421524663677</v>
      </c>
      <c r="Q21" s="50">
        <v>4.220742419948994</v>
      </c>
      <c r="R21" s="50">
        <v>2.456470615458013</v>
      </c>
      <c r="S21" s="50">
        <v>0.34507943565525623</v>
      </c>
      <c r="T21" s="50">
        <v>1.8686175796069606</v>
      </c>
      <c r="U21" s="50">
        <v>0.6138789884449919</v>
      </c>
      <c r="V21" s="50">
        <v>1.3529821865797462</v>
      </c>
      <c r="W21" s="50">
        <v>1.0451395475717387</v>
      </c>
      <c r="X21" s="50">
        <v>1.7508050815148757</v>
      </c>
      <c r="Y21" s="50">
        <v>4.653853713048742</v>
      </c>
    </row>
    <row r="22" ht="14.25" hidden="1" customHeight="1">
      <c r="A22" s="51" t="s">
        <v>325</v>
      </c>
      <c r="B22" s="4">
        <v>2019.0</v>
      </c>
      <c r="C22" s="50">
        <v>4.061757719714964</v>
      </c>
      <c r="D22" s="50">
        <v>0.2579992011902284</v>
      </c>
      <c r="E22" s="50">
        <v>2.6916712397362237</v>
      </c>
      <c r="F22" s="50">
        <v>3.8928224012732704</v>
      </c>
      <c r="G22" s="50">
        <v>2.7260626404786716</v>
      </c>
      <c r="H22" s="50">
        <v>2.0020911835350463</v>
      </c>
      <c r="I22" s="50">
        <v>0.9640830726042138</v>
      </c>
      <c r="J22" s="50">
        <v>2.954558884358565</v>
      </c>
      <c r="K22" s="50">
        <v>1.973577713499275</v>
      </c>
      <c r="L22" s="50">
        <v>2.349820176988973</v>
      </c>
      <c r="M22" s="50">
        <v>0.4261116703373951</v>
      </c>
      <c r="N22" s="50">
        <v>0.0</v>
      </c>
      <c r="O22" s="50">
        <v>0.9946161059681407</v>
      </c>
      <c r="P22" s="50">
        <v>0.0</v>
      </c>
      <c r="Q22" s="50">
        <v>4.7223009351090965</v>
      </c>
      <c r="R22" s="50">
        <v>1.2286057422829264</v>
      </c>
      <c r="S22" s="50">
        <v>0.0</v>
      </c>
      <c r="T22" s="50">
        <v>0.0</v>
      </c>
      <c r="U22" s="50">
        <v>0.0</v>
      </c>
      <c r="V22" s="50">
        <v>0.6265849724982198</v>
      </c>
      <c r="W22" s="50">
        <v>0.15664624312455494</v>
      </c>
      <c r="X22" s="50">
        <v>0.6926259927037406</v>
      </c>
      <c r="Y22" s="50">
        <v>3.828976008552219</v>
      </c>
    </row>
    <row r="23" ht="14.25" hidden="1" customHeight="1">
      <c r="A23" s="49" t="s">
        <v>326</v>
      </c>
      <c r="B23" s="4">
        <v>2019.0</v>
      </c>
      <c r="C23" s="50">
        <v>3.888700373260943</v>
      </c>
      <c r="D23" s="50">
        <v>0.28337709783051385</v>
      </c>
      <c r="E23" s="50">
        <v>1.873208945287691</v>
      </c>
      <c r="F23" s="50">
        <v>4.423953015935796</v>
      </c>
      <c r="G23" s="50">
        <v>2.6173098580787357</v>
      </c>
      <c r="H23" s="50">
        <v>1.9578470264429169</v>
      </c>
      <c r="I23" s="50">
        <v>1.8204735948833604</v>
      </c>
      <c r="J23" s="50">
        <v>4.267564852567512</v>
      </c>
      <c r="K23" s="50">
        <v>2.6819618246312626</v>
      </c>
      <c r="L23" s="50">
        <v>2.649635841354999</v>
      </c>
      <c r="M23" s="50">
        <v>2.0503034751441787</v>
      </c>
      <c r="N23" s="50">
        <v>0.0</v>
      </c>
      <c r="O23" s="50">
        <v>3.375664489503894</v>
      </c>
      <c r="P23" s="50">
        <v>7.488789237668161</v>
      </c>
      <c r="Q23" s="50">
        <v>1.932558798526495</v>
      </c>
      <c r="R23" s="50">
        <v>2.969463200168546</v>
      </c>
      <c r="S23" s="50">
        <v>0.0</v>
      </c>
      <c r="T23" s="50">
        <v>0.0</v>
      </c>
      <c r="U23" s="50">
        <v>0.0</v>
      </c>
      <c r="V23" s="50">
        <v>0.2406862817669235</v>
      </c>
      <c r="W23" s="50">
        <v>0.060171570441730875</v>
      </c>
      <c r="X23" s="50">
        <v>1.5148173853051385</v>
      </c>
      <c r="Y23" s="50">
        <v>3.9141118121900464</v>
      </c>
    </row>
    <row r="24" ht="14.25" hidden="1" customHeight="1">
      <c r="A24" s="51" t="s">
        <v>327</v>
      </c>
      <c r="B24" s="4">
        <v>2019.0</v>
      </c>
      <c r="C24" s="50">
        <v>3.8106549032914834</v>
      </c>
      <c r="D24" s="50">
        <v>0.30065948276761234</v>
      </c>
      <c r="E24" s="50">
        <v>3.919281418423268</v>
      </c>
      <c r="F24" s="50">
        <v>5.244225372604378</v>
      </c>
      <c r="G24" s="50">
        <v>3.3187052942716857</v>
      </c>
      <c r="H24" s="50">
        <v>1.7920746596444834</v>
      </c>
      <c r="I24" s="50">
        <v>1.5560888084426494</v>
      </c>
      <c r="J24" s="50">
        <v>7.175441706553212</v>
      </c>
      <c r="K24" s="50">
        <v>3.507868391546782</v>
      </c>
      <c r="L24" s="50">
        <v>3.4132868429092333</v>
      </c>
      <c r="M24" s="50">
        <v>0.0</v>
      </c>
      <c r="N24" s="50">
        <v>0.0</v>
      </c>
      <c r="O24" s="50">
        <v>2.2429388281015052</v>
      </c>
      <c r="P24" s="50">
        <v>6.278026905829596</v>
      </c>
      <c r="Q24" s="50">
        <v>2.1479172570133183</v>
      </c>
      <c r="R24" s="50">
        <v>2.133776598188884</v>
      </c>
      <c r="S24" s="50">
        <v>0.9526120077259428</v>
      </c>
      <c r="T24" s="50">
        <v>0.0</v>
      </c>
      <c r="U24" s="50">
        <v>0.0</v>
      </c>
      <c r="V24" s="50">
        <v>0.3819872685963844</v>
      </c>
      <c r="W24" s="50">
        <v>0.3336498190805818</v>
      </c>
      <c r="X24" s="50">
        <v>1.2337132086347329</v>
      </c>
      <c r="Y24" s="50">
        <v>4.517527743227539</v>
      </c>
    </row>
    <row r="25" ht="14.25" hidden="1" customHeight="1">
      <c r="A25" s="51" t="s">
        <v>328</v>
      </c>
      <c r="B25" s="4">
        <v>2019.0</v>
      </c>
      <c r="C25" s="50">
        <v>3.6952833389888022</v>
      </c>
      <c r="D25" s="50">
        <v>0.4084620502840803</v>
      </c>
      <c r="E25" s="50">
        <v>3.223223043571799</v>
      </c>
      <c r="F25" s="50">
        <v>3.9381236929938246</v>
      </c>
      <c r="G25" s="50">
        <v>2.8162730314596263</v>
      </c>
      <c r="H25" s="50">
        <v>2.420408323713224</v>
      </c>
      <c r="I25" s="50">
        <v>2.5923520941026896</v>
      </c>
      <c r="J25" s="50">
        <v>3.39774271701235</v>
      </c>
      <c r="K25" s="50">
        <v>2.803501044942754</v>
      </c>
      <c r="L25" s="50">
        <v>2.8098870382011905</v>
      </c>
      <c r="M25" s="50">
        <v>1.3460696981733369</v>
      </c>
      <c r="N25" s="50">
        <v>0.8824502307710878</v>
      </c>
      <c r="O25" s="50">
        <v>2.5364720204158537</v>
      </c>
      <c r="P25" s="50">
        <v>7.040358744394619</v>
      </c>
      <c r="Q25" s="50">
        <v>3.716350240861434</v>
      </c>
      <c r="R25" s="50">
        <v>3.1043401869232663</v>
      </c>
      <c r="S25" s="50">
        <v>0.3266591729101237</v>
      </c>
      <c r="T25" s="50">
        <v>0.707548477214428</v>
      </c>
      <c r="U25" s="50">
        <v>0.0</v>
      </c>
      <c r="V25" s="50">
        <v>0.616123326828672</v>
      </c>
      <c r="W25" s="50">
        <v>0.41258274423830593</v>
      </c>
      <c r="X25" s="50">
        <v>1.7584614655807862</v>
      </c>
      <c r="Y25" s="50">
        <v>4.602175256294856</v>
      </c>
    </row>
    <row r="26" ht="14.25" hidden="1" customHeight="1">
      <c r="A26" s="51" t="s">
        <v>329</v>
      </c>
      <c r="B26" s="52">
        <v>2019.0</v>
      </c>
      <c r="C26" s="50">
        <v>2.6671191041737363</v>
      </c>
      <c r="D26" s="50">
        <v>0.26550273999302476</v>
      </c>
      <c r="E26" s="50">
        <v>2.081354005539669</v>
      </c>
      <c r="F26" s="50">
        <v>5.388455819020903</v>
      </c>
      <c r="G26" s="50">
        <v>2.600607917181833</v>
      </c>
      <c r="H26" s="50">
        <v>0.5175803447515446</v>
      </c>
      <c r="I26" s="50">
        <v>1.1162714381207608</v>
      </c>
      <c r="J26" s="50">
        <v>1.4772794421792825</v>
      </c>
      <c r="K26" s="50">
        <v>1.0370437416838625</v>
      </c>
      <c r="L26" s="50">
        <v>1.8188258294328477</v>
      </c>
      <c r="M26" s="50">
        <v>0.0</v>
      </c>
      <c r="N26" s="50">
        <v>0.0</v>
      </c>
      <c r="O26" s="50">
        <v>0.09386954612885187</v>
      </c>
      <c r="P26" s="50">
        <v>0.0</v>
      </c>
      <c r="Q26" s="50">
        <v>0.0</v>
      </c>
      <c r="R26" s="50">
        <v>0.018773909225770373</v>
      </c>
      <c r="S26" s="50">
        <v>0.0</v>
      </c>
      <c r="T26" s="50">
        <v>0.0</v>
      </c>
      <c r="U26" s="50">
        <v>0.0</v>
      </c>
      <c r="V26" s="50">
        <v>0.22262824255419256</v>
      </c>
      <c r="W26" s="50">
        <v>0.05565706063854814</v>
      </c>
      <c r="X26" s="50">
        <v>0.03721548493215925</v>
      </c>
      <c r="Y26" s="50">
        <v>3.6061964449875896</v>
      </c>
    </row>
    <row r="27" ht="14.25" hidden="1" customHeight="1">
      <c r="A27" s="51" t="s">
        <v>330</v>
      </c>
      <c r="B27" s="4">
        <v>2019.0</v>
      </c>
      <c r="C27" s="50">
        <v>2.4228028503562946</v>
      </c>
      <c r="D27" s="50">
        <v>0.03442380976438699</v>
      </c>
      <c r="E27" s="50">
        <v>4.696153657390431</v>
      </c>
      <c r="F27" s="50">
        <v>7.364539938644173</v>
      </c>
      <c r="G27" s="50">
        <v>3.6294800640388214</v>
      </c>
      <c r="H27" s="50">
        <v>2.6910738226269624</v>
      </c>
      <c r="I27" s="50">
        <v>0.4373334174460233</v>
      </c>
      <c r="J27" s="50">
        <v>1.4772794421792825</v>
      </c>
      <c r="K27" s="50">
        <v>1.5352288940840895</v>
      </c>
      <c r="L27" s="50">
        <v>2.5823544790614554</v>
      </c>
      <c r="M27" s="50">
        <v>0.0</v>
      </c>
      <c r="N27" s="50">
        <v>0.0</v>
      </c>
      <c r="O27" s="50">
        <v>0.5812030967381879</v>
      </c>
      <c r="P27" s="50">
        <v>0.0</v>
      </c>
      <c r="Q27" s="50">
        <v>0.0</v>
      </c>
      <c r="R27" s="50">
        <v>0.11624061934763759</v>
      </c>
      <c r="S27" s="50">
        <v>2.9004434908508</v>
      </c>
      <c r="T27" s="50">
        <v>0.0</v>
      </c>
      <c r="U27" s="50">
        <v>0.0</v>
      </c>
      <c r="V27" s="50">
        <v>3.575292465177532</v>
      </c>
      <c r="W27" s="50">
        <v>1.618933989007083</v>
      </c>
      <c r="X27" s="50">
        <v>0.8675873041773603</v>
      </c>
      <c r="Y27" s="50">
        <v>4.937205428079564</v>
      </c>
    </row>
    <row r="28" ht="14.25" hidden="1" customHeight="1">
      <c r="A28" s="49" t="s">
        <v>331</v>
      </c>
      <c r="B28" s="4">
        <v>2019.0</v>
      </c>
      <c r="C28" s="50">
        <v>2.3617237869019343</v>
      </c>
      <c r="D28" s="50">
        <v>0.25180251293139017</v>
      </c>
      <c r="E28" s="50">
        <v>3.837415134723123</v>
      </c>
      <c r="F28" s="50">
        <v>3.704472316643128</v>
      </c>
      <c r="G28" s="50">
        <v>2.5388534377998937</v>
      </c>
      <c r="H28" s="50">
        <v>1.2628997158856023</v>
      </c>
      <c r="I28" s="50">
        <v>2.8912392589510256</v>
      </c>
      <c r="J28" s="50">
        <v>1.4772794421792825</v>
      </c>
      <c r="K28" s="50">
        <v>1.8771394723386368</v>
      </c>
      <c r="L28" s="50">
        <v>2.2079964550692655</v>
      </c>
      <c r="M28" s="50">
        <v>0.0</v>
      </c>
      <c r="N28" s="50">
        <v>0.0</v>
      </c>
      <c r="O28" s="50">
        <v>0.0</v>
      </c>
      <c r="P28" s="50">
        <v>0.0</v>
      </c>
      <c r="Q28" s="50">
        <v>0.0</v>
      </c>
      <c r="R28" s="50">
        <v>0.0</v>
      </c>
      <c r="S28" s="50">
        <v>0.0</v>
      </c>
      <c r="T28" s="50">
        <v>0.0</v>
      </c>
      <c r="U28" s="50">
        <v>0.0</v>
      </c>
      <c r="V28" s="50">
        <v>0.33784244368595645</v>
      </c>
      <c r="W28" s="50">
        <v>0.08446061092148911</v>
      </c>
      <c r="X28" s="50">
        <v>0.042230305460744556</v>
      </c>
      <c r="Y28" s="50">
        <v>3.92160285108182</v>
      </c>
    </row>
    <row r="29" ht="14.25" hidden="1" customHeight="1">
      <c r="A29" s="49" t="s">
        <v>332</v>
      </c>
      <c r="B29" s="4">
        <v>2019.0</v>
      </c>
      <c r="C29" s="50">
        <v>1.336952833389888</v>
      </c>
      <c r="D29" s="50">
        <v>0.35299518083989484</v>
      </c>
      <c r="E29" s="50">
        <v>4.8264385364014135</v>
      </c>
      <c r="F29" s="50">
        <v>5.758407540630958</v>
      </c>
      <c r="G29" s="50">
        <v>3.0686985228155383</v>
      </c>
      <c r="H29" s="50">
        <v>3.007540097018962</v>
      </c>
      <c r="I29" s="50">
        <v>0.9807762064610677</v>
      </c>
      <c r="J29" s="50">
        <v>4.136382438101991</v>
      </c>
      <c r="K29" s="50">
        <v>2.7082329138606736</v>
      </c>
      <c r="L29" s="50">
        <v>2.8884657183381055</v>
      </c>
      <c r="M29" s="50">
        <v>0.0</v>
      </c>
      <c r="N29" s="50">
        <v>0.0</v>
      </c>
      <c r="O29" s="50">
        <v>0.0</v>
      </c>
      <c r="P29" s="50">
        <v>0.0</v>
      </c>
      <c r="Q29" s="50">
        <v>0.0</v>
      </c>
      <c r="R29" s="50">
        <v>0.0</v>
      </c>
      <c r="S29" s="50">
        <v>0.0</v>
      </c>
      <c r="T29" s="50">
        <v>0.0</v>
      </c>
      <c r="U29" s="50">
        <v>0.0</v>
      </c>
      <c r="V29" s="50">
        <v>0.04509523369071421</v>
      </c>
      <c r="W29" s="50">
        <v>0.011273808422678553</v>
      </c>
      <c r="X29" s="50">
        <v>0.005636904211339277</v>
      </c>
      <c r="Y29" s="50">
        <v>3.4128129090861465</v>
      </c>
    </row>
    <row r="30" ht="14.25" hidden="1" customHeight="1">
      <c r="A30" s="49" t="s">
        <v>333</v>
      </c>
      <c r="B30" s="4">
        <v>2019.0</v>
      </c>
      <c r="C30" s="50">
        <v>1.2826603325415677</v>
      </c>
      <c r="D30" s="50">
        <v>0.0</v>
      </c>
      <c r="E30" s="50">
        <v>2.2619333209932346</v>
      </c>
      <c r="F30" s="50">
        <v>2.040039651729391</v>
      </c>
      <c r="G30" s="50">
        <v>1.3961583263160482</v>
      </c>
      <c r="H30" s="50">
        <v>1.0554345794258027</v>
      </c>
      <c r="I30" s="50">
        <v>0.8698596733435159</v>
      </c>
      <c r="J30" s="50">
        <v>3.693198605448207</v>
      </c>
      <c r="K30" s="50">
        <v>1.872830952739175</v>
      </c>
      <c r="L30" s="50">
        <v>1.6344946395276116</v>
      </c>
      <c r="M30" s="50">
        <v>0.0</v>
      </c>
      <c r="N30" s="50">
        <v>0.0</v>
      </c>
      <c r="O30" s="50">
        <v>0.0</v>
      </c>
      <c r="P30" s="50">
        <v>0.0</v>
      </c>
      <c r="Q30" s="50">
        <v>0.0</v>
      </c>
      <c r="R30" s="50">
        <v>0.0</v>
      </c>
      <c r="S30" s="50">
        <v>0.0</v>
      </c>
      <c r="T30" s="50">
        <v>0.0</v>
      </c>
      <c r="U30" s="50">
        <v>0.0</v>
      </c>
      <c r="V30" s="50">
        <v>0.0</v>
      </c>
      <c r="W30" s="50">
        <v>0.0</v>
      </c>
      <c r="X30" s="50">
        <v>0.0</v>
      </c>
      <c r="Y30" s="50">
        <v>2.9113384262259236</v>
      </c>
    </row>
    <row r="31" ht="14.25" hidden="1" customHeight="1">
      <c r="A31" s="51" t="s">
        <v>334</v>
      </c>
      <c r="B31" s="4">
        <v>2019.0</v>
      </c>
      <c r="C31" s="50">
        <v>0.8788598574821853</v>
      </c>
      <c r="D31" s="50">
        <v>0.0014639450866679555</v>
      </c>
      <c r="E31" s="50">
        <v>2.0912455001921817</v>
      </c>
      <c r="F31" s="50">
        <v>1.254618491530107</v>
      </c>
      <c r="G31" s="50">
        <v>1.0565469485727854</v>
      </c>
      <c r="H31" s="50">
        <v>1.2666236927490802</v>
      </c>
      <c r="I31" s="50">
        <v>0.8044853091929913</v>
      </c>
      <c r="J31" s="50">
        <v>7.878922176918986</v>
      </c>
      <c r="K31" s="50">
        <v>3.3166770596203525</v>
      </c>
      <c r="L31" s="50">
        <v>2.186612004096569</v>
      </c>
      <c r="M31" s="50">
        <v>0.0</v>
      </c>
      <c r="N31" s="50">
        <v>0.0</v>
      </c>
      <c r="O31" s="50">
        <v>0.0</v>
      </c>
      <c r="P31" s="50">
        <v>0.0</v>
      </c>
      <c r="Q31" s="50">
        <v>0.0</v>
      </c>
      <c r="R31" s="50">
        <v>0.0</v>
      </c>
      <c r="S31" s="50">
        <v>0.0</v>
      </c>
      <c r="T31" s="50">
        <v>0.0</v>
      </c>
      <c r="U31" s="50">
        <v>0.0</v>
      </c>
      <c r="V31" s="50">
        <v>0.0</v>
      </c>
      <c r="W31" s="50">
        <v>0.0</v>
      </c>
      <c r="X31" s="50">
        <v>0.0</v>
      </c>
      <c r="Y31" s="50">
        <v>2.568007903590149</v>
      </c>
    </row>
    <row r="32" ht="14.25" hidden="1" customHeight="1">
      <c r="A32" s="49" t="s">
        <v>335</v>
      </c>
      <c r="B32" s="4">
        <v>2019.0</v>
      </c>
      <c r="C32" s="50">
        <v>0.5598914149983034</v>
      </c>
      <c r="D32" s="50">
        <v>0.041581041701628615</v>
      </c>
      <c r="E32" s="50">
        <v>0.9663715362304524</v>
      </c>
      <c r="F32" s="50">
        <v>0.24314891641270042</v>
      </c>
      <c r="G32" s="50">
        <v>0.45274822733577114</v>
      </c>
      <c r="H32" s="50">
        <v>0.27276701259106345</v>
      </c>
      <c r="I32" s="50">
        <v>0.2030502577366488</v>
      </c>
      <c r="J32" s="50">
        <v>1.641552916149619</v>
      </c>
      <c r="K32" s="50">
        <v>0.7057900621591104</v>
      </c>
      <c r="L32" s="50">
        <v>0.5792691447474407</v>
      </c>
      <c r="M32" s="50">
        <v>4.575389991641236</v>
      </c>
      <c r="N32" s="50">
        <v>0.0</v>
      </c>
      <c r="O32" s="50">
        <v>3.0036733943561025</v>
      </c>
      <c r="P32" s="50">
        <v>5.47085201793722</v>
      </c>
      <c r="Q32" s="50">
        <v>9.016718617172003</v>
      </c>
      <c r="R32" s="50">
        <v>4.413326804221313</v>
      </c>
      <c r="S32" s="50">
        <v>0.0</v>
      </c>
      <c r="T32" s="50">
        <v>0.0</v>
      </c>
      <c r="U32" s="50">
        <v>0.0</v>
      </c>
      <c r="V32" s="50">
        <v>0.9894087601259022</v>
      </c>
      <c r="W32" s="50">
        <v>0.24735219003147554</v>
      </c>
      <c r="X32" s="50">
        <v>2.330339497126394</v>
      </c>
      <c r="Y32" s="50">
        <v>3.424465353891092</v>
      </c>
    </row>
    <row r="33" ht="14.25" hidden="1" customHeight="1">
      <c r="A33" s="51" t="s">
        <v>336</v>
      </c>
      <c r="B33" s="4">
        <v>2019.0</v>
      </c>
      <c r="C33" s="50">
        <v>0.016966406515100098</v>
      </c>
      <c r="D33" s="50">
        <v>0.0804500642537484</v>
      </c>
      <c r="E33" s="50">
        <v>3.6158545053179996</v>
      </c>
      <c r="F33" s="50">
        <v>0.0</v>
      </c>
      <c r="G33" s="50">
        <v>0.9283177440217121</v>
      </c>
      <c r="H33" s="50">
        <v>0.0</v>
      </c>
      <c r="I33" s="50">
        <v>0.0</v>
      </c>
      <c r="J33" s="50">
        <v>0.0</v>
      </c>
      <c r="K33" s="50">
        <v>0.0</v>
      </c>
      <c r="L33" s="50">
        <v>0.46415887201085604</v>
      </c>
      <c r="M33" s="50">
        <v>0.0</v>
      </c>
      <c r="N33" s="50">
        <v>0.0</v>
      </c>
      <c r="O33" s="50">
        <v>4.844517651520274</v>
      </c>
      <c r="P33" s="50">
        <v>0.0</v>
      </c>
      <c r="Q33" s="50">
        <v>0.0</v>
      </c>
      <c r="R33" s="50">
        <v>0.9689035303040548</v>
      </c>
      <c r="S33" s="50">
        <v>0.0</v>
      </c>
      <c r="T33" s="50">
        <v>0.0</v>
      </c>
      <c r="U33" s="50">
        <v>0.0</v>
      </c>
      <c r="V33" s="50">
        <v>0.07978910443467577</v>
      </c>
      <c r="W33" s="50">
        <v>0.019947276108668942</v>
      </c>
      <c r="X33" s="50">
        <v>0.4944254032063619</v>
      </c>
      <c r="Y33" s="50">
        <v>2.5254100807350492</v>
      </c>
    </row>
    <row r="34" ht="14.25" hidden="1" customHeight="1">
      <c r="A34" s="49" t="s">
        <v>329</v>
      </c>
      <c r="B34" s="52">
        <v>2020.0</v>
      </c>
      <c r="C34" s="50">
        <v>2.684085510688836</v>
      </c>
      <c r="D34" s="50">
        <v>0.3645158301866175</v>
      </c>
      <c r="E34" s="50">
        <v>2.081354005539669</v>
      </c>
      <c r="F34" s="50">
        <v>5.388455819020903</v>
      </c>
      <c r="G34" s="50">
        <v>2.6296027913590065</v>
      </c>
      <c r="H34" s="50">
        <v>0.369167742624584</v>
      </c>
      <c r="I34" s="50">
        <v>1.332223692846337</v>
      </c>
      <c r="J34" s="50">
        <v>0.8441174732612422</v>
      </c>
      <c r="K34" s="50">
        <v>0.8485029695773877</v>
      </c>
      <c r="L34" s="50">
        <v>1.739052880468197</v>
      </c>
      <c r="M34" s="50">
        <v>0.0</v>
      </c>
      <c r="N34" s="50">
        <v>0.0</v>
      </c>
      <c r="O34" s="50">
        <v>0.43721497172450546</v>
      </c>
      <c r="P34" s="50">
        <v>0.0</v>
      </c>
      <c r="Q34" s="50">
        <v>0.0</v>
      </c>
      <c r="R34" s="50">
        <v>0.08744299434490109</v>
      </c>
      <c r="S34" s="50">
        <v>0.0</v>
      </c>
      <c r="T34" s="50">
        <v>0.0</v>
      </c>
      <c r="U34" s="50">
        <v>0.0</v>
      </c>
      <c r="V34" s="50">
        <v>0.23330985476327232</v>
      </c>
      <c r="W34" s="50">
        <v>0.05832746369081808</v>
      </c>
      <c r="X34" s="50">
        <v>0.07288522901785958</v>
      </c>
      <c r="Y34" s="50">
        <v>3.4328613132861054</v>
      </c>
    </row>
    <row r="35" ht="14.25" hidden="1" customHeight="1">
      <c r="A35" s="51" t="s">
        <v>306</v>
      </c>
      <c r="B35" s="23">
        <v>2020.0</v>
      </c>
      <c r="C35" s="50">
        <v>8.486596538853071</v>
      </c>
      <c r="D35" s="50">
        <v>0.6950735145627353</v>
      </c>
      <c r="E35" s="50">
        <v>5.578772091038728</v>
      </c>
      <c r="F35" s="50">
        <v>6.773650562784005</v>
      </c>
      <c r="G35" s="50">
        <v>5.383523176809635</v>
      </c>
      <c r="H35" s="50">
        <v>4.6255483107437705</v>
      </c>
      <c r="I35" s="50">
        <v>3.4767545684715713</v>
      </c>
      <c r="J35" s="50">
        <v>3.73219878272174</v>
      </c>
      <c r="K35" s="50">
        <v>3.9448338873123605</v>
      </c>
      <c r="L35" s="50">
        <v>4.664178532060998</v>
      </c>
      <c r="M35" s="50">
        <v>1.1006761082378849</v>
      </c>
      <c r="N35" s="50">
        <v>1.443152441566467</v>
      </c>
      <c r="O35" s="50">
        <v>4.121365071378572</v>
      </c>
      <c r="P35" s="50">
        <v>7.219730941704037</v>
      </c>
      <c r="Q35" s="50">
        <v>3.5420799093227546</v>
      </c>
      <c r="R35" s="50">
        <v>3.485400894441943</v>
      </c>
      <c r="S35" s="50">
        <v>6.944807270245943</v>
      </c>
      <c r="T35" s="50">
        <v>4.628477739878416</v>
      </c>
      <c r="U35" s="50">
        <v>2.851030018132134</v>
      </c>
      <c r="V35" s="50">
        <v>2.1738845755104017</v>
      </c>
      <c r="W35" s="50">
        <v>4.149549900941723</v>
      </c>
      <c r="X35" s="50">
        <v>3.817475397691833</v>
      </c>
      <c r="Y35" s="50">
        <v>5.319128374736435</v>
      </c>
    </row>
    <row r="36" ht="14.25" hidden="1" customHeight="1">
      <c r="A36" s="49" t="s">
        <v>320</v>
      </c>
      <c r="B36" s="23">
        <v>2020.0</v>
      </c>
      <c r="C36" s="50">
        <v>5.697486152310419</v>
      </c>
      <c r="D36" s="50">
        <v>1.2496262144847767</v>
      </c>
      <c r="E36" s="50">
        <v>6.153825053899039</v>
      </c>
      <c r="F36" s="50">
        <v>7.431181066766151</v>
      </c>
      <c r="G36" s="50">
        <v>5.133029621865096</v>
      </c>
      <c r="H36" s="50">
        <v>2.870384195733959</v>
      </c>
      <c r="I36" s="50">
        <v>3.2066830767289707</v>
      </c>
      <c r="J36" s="50">
        <v>5.90911776871713</v>
      </c>
      <c r="K36" s="50">
        <v>3.9953950137266863</v>
      </c>
      <c r="L36" s="50">
        <v>4.564212317795891</v>
      </c>
      <c r="M36" s="50">
        <v>3.717896419370699</v>
      </c>
      <c r="N36" s="50">
        <v>5.757547016428023</v>
      </c>
      <c r="O36" s="50">
        <v>5.142000661811279</v>
      </c>
      <c r="P36" s="50">
        <v>7.309417040358745</v>
      </c>
      <c r="Q36" s="50">
        <v>3.0603570416548598</v>
      </c>
      <c r="R36" s="50">
        <v>4.997443635924721</v>
      </c>
      <c r="S36" s="50">
        <v>2.642797062300394</v>
      </c>
      <c r="T36" s="50">
        <v>1.2925921201394577</v>
      </c>
      <c r="U36" s="50">
        <v>0.530803595023225</v>
      </c>
      <c r="V36" s="50">
        <v>2.7778437748666382</v>
      </c>
      <c r="W36" s="50">
        <v>1.8110091380824287</v>
      </c>
      <c r="X36" s="50">
        <v>3.404226387003575</v>
      </c>
      <c r="Y36" s="50">
        <v>5.736749666646289</v>
      </c>
    </row>
    <row r="37" ht="14.25" customHeight="1">
      <c r="A37" s="51" t="s">
        <v>305</v>
      </c>
      <c r="B37" s="23">
        <v>2020.0</v>
      </c>
      <c r="C37" s="50">
        <v>8.520529351883273</v>
      </c>
      <c r="D37" s="50">
        <v>1.4559984801240473</v>
      </c>
      <c r="E37" s="50">
        <v>9.568893527742695</v>
      </c>
      <c r="F37" s="50">
        <v>9.513600979353026</v>
      </c>
      <c r="G37" s="50">
        <v>7.26475558477576</v>
      </c>
      <c r="H37" s="50">
        <v>3.873959095238826</v>
      </c>
      <c r="I37" s="50">
        <v>4.9684577412588515</v>
      </c>
      <c r="J37" s="50">
        <v>8.314128700585004</v>
      </c>
      <c r="K37" s="50">
        <v>5.718848512360894</v>
      </c>
      <c r="L37" s="50">
        <v>6.491802048568327</v>
      </c>
      <c r="M37" s="50">
        <v>4.213862961558003</v>
      </c>
      <c r="N37" s="50">
        <v>6.846828358500029</v>
      </c>
      <c r="O37" s="50">
        <v>5.68503564613665</v>
      </c>
      <c r="P37" s="50">
        <v>9.596412556053814</v>
      </c>
      <c r="Q37" s="50">
        <v>2.663644091810711</v>
      </c>
      <c r="R37" s="50">
        <v>5.801156722811841</v>
      </c>
      <c r="S37" s="50">
        <v>5.80825300330714</v>
      </c>
      <c r="T37" s="50">
        <v>5.764275366896055</v>
      </c>
      <c r="U37" s="50">
        <v>4.414834097599404</v>
      </c>
      <c r="V37" s="50">
        <v>8.510041898365676</v>
      </c>
      <c r="W37" s="50">
        <v>6.124351091542069</v>
      </c>
      <c r="X37" s="50">
        <v>5.962753907176954</v>
      </c>
      <c r="Y37" s="50">
        <v>7.007646836666625</v>
      </c>
    </row>
    <row r="38" ht="14.25" customHeight="1">
      <c r="A38" s="49" t="s">
        <v>310</v>
      </c>
      <c r="B38" s="23">
        <v>2020.0</v>
      </c>
      <c r="C38" s="50">
        <v>7.229360051853221</v>
      </c>
      <c r="D38" s="50">
        <v>1.0425908215366988</v>
      </c>
      <c r="E38" s="50">
        <v>7.09192711376157</v>
      </c>
      <c r="F38" s="50">
        <v>7.984442141914703</v>
      </c>
      <c r="G38" s="50">
        <v>5.837080032266549</v>
      </c>
      <c r="H38" s="50">
        <v>3.6992582524135575</v>
      </c>
      <c r="I38" s="50">
        <v>4.22255307894906</v>
      </c>
      <c r="J38" s="50">
        <v>7.513147787035396</v>
      </c>
      <c r="K38" s="50">
        <v>5.144986372799338</v>
      </c>
      <c r="L38" s="50">
        <v>5.491033202532943</v>
      </c>
      <c r="M38" s="50">
        <v>3.772502514396817</v>
      </c>
      <c r="N38" s="50">
        <v>2.793215982950298</v>
      </c>
      <c r="O38" s="50">
        <v>5.3092911365295015</v>
      </c>
      <c r="P38" s="50">
        <v>6.09865470852018</v>
      </c>
      <c r="Q38" s="50">
        <v>3.20204023802777</v>
      </c>
      <c r="R38" s="50">
        <v>4.235140916084913</v>
      </c>
      <c r="S38" s="50">
        <v>4.265138205646418</v>
      </c>
      <c r="T38" s="50">
        <v>2.2396002022012698</v>
      </c>
      <c r="U38" s="50">
        <v>1.8393858669274845</v>
      </c>
      <c r="V38" s="50">
        <v>2.8312633135542487</v>
      </c>
      <c r="W38" s="50">
        <v>2.7938468970823553</v>
      </c>
      <c r="X38" s="50">
        <v>3.5144939065836347</v>
      </c>
      <c r="Y38" s="50">
        <v>5.884968486399707</v>
      </c>
    </row>
    <row r="39" ht="14.25" hidden="1" customHeight="1">
      <c r="A39" s="51" t="s">
        <v>311</v>
      </c>
      <c r="B39" s="23">
        <v>2020.0</v>
      </c>
      <c r="C39" s="50">
        <v>7.364765002168044</v>
      </c>
      <c r="D39" s="50">
        <v>1.1934277509213629</v>
      </c>
      <c r="E39" s="50">
        <v>7.231059969207195</v>
      </c>
      <c r="F39" s="53">
        <v>8.592928016580974</v>
      </c>
      <c r="G39" s="50">
        <v>6.095545184719393</v>
      </c>
      <c r="H39" s="50">
        <v>2.33982769401535</v>
      </c>
      <c r="I39" s="50">
        <v>3.0008273777100563</v>
      </c>
      <c r="J39" s="50">
        <v>5.208000945458843</v>
      </c>
      <c r="K39" s="50">
        <v>3.516218672394749</v>
      </c>
      <c r="L39" s="50">
        <v>4.805881928557071</v>
      </c>
      <c r="M39" s="50">
        <v>3.56135938817888</v>
      </c>
      <c r="N39" s="50">
        <v>2.7648233735200516</v>
      </c>
      <c r="O39" s="50">
        <v>3.9991726330900583</v>
      </c>
      <c r="P39" s="50">
        <v>6.771300448430493</v>
      </c>
      <c r="Q39" s="50">
        <v>3.2558798526494757</v>
      </c>
      <c r="R39" s="50">
        <v>4.070507139173792</v>
      </c>
      <c r="S39" s="50">
        <v>3.820927500637075</v>
      </c>
      <c r="T39" s="50">
        <v>3.39914701801798</v>
      </c>
      <c r="U39" s="50">
        <v>2.063447299227314</v>
      </c>
      <c r="V39" s="50">
        <v>4.960238274790022</v>
      </c>
      <c r="W39" s="50">
        <v>3.560940023168098</v>
      </c>
      <c r="X39" s="50">
        <v>3.815723581170945</v>
      </c>
      <c r="Y39" s="50">
        <v>6.031521797763181</v>
      </c>
    </row>
    <row r="40" ht="14.25" hidden="1" customHeight="1">
      <c r="A40" s="49" t="s">
        <v>318</v>
      </c>
      <c r="B40" s="23">
        <v>2020.0</v>
      </c>
      <c r="C40" s="50">
        <v>5.252799457074992</v>
      </c>
      <c r="D40" s="50">
        <v>1.3349405966703152</v>
      </c>
      <c r="E40" s="50">
        <v>3.6269514219492565</v>
      </c>
      <c r="F40" s="50">
        <v>5.083352380977518</v>
      </c>
      <c r="G40" s="50">
        <v>3.82451096416802</v>
      </c>
      <c r="H40" s="50">
        <v>1.8779465301584366</v>
      </c>
      <c r="I40" s="50">
        <v>2.5806784254589705</v>
      </c>
      <c r="J40" s="50">
        <v>4.28411038231992</v>
      </c>
      <c r="K40" s="50">
        <v>2.914245112645775</v>
      </c>
      <c r="L40" s="50">
        <v>3.369378038406898</v>
      </c>
      <c r="M40" s="50">
        <v>2.7982276221215723</v>
      </c>
      <c r="N40" s="50">
        <v>0.8632702571894648</v>
      </c>
      <c r="O40" s="50">
        <v>3.56993080201981</v>
      </c>
      <c r="P40" s="50">
        <v>0.0</v>
      </c>
      <c r="Q40" s="50">
        <v>3.3833947293850946</v>
      </c>
      <c r="R40" s="50">
        <v>2.1229646821431882</v>
      </c>
      <c r="S40" s="50">
        <v>0.47933889931392293</v>
      </c>
      <c r="T40" s="50">
        <v>0.3460849884787212</v>
      </c>
      <c r="U40" s="50">
        <v>1.2790797490195995</v>
      </c>
      <c r="V40" s="50">
        <v>1.6231049192570866</v>
      </c>
      <c r="W40" s="50">
        <v>0.9319021390173327</v>
      </c>
      <c r="X40" s="50">
        <v>1.5274334105802607</v>
      </c>
      <c r="Y40" s="50">
        <v>5.214004695435889</v>
      </c>
    </row>
    <row r="41" ht="14.25" hidden="1" customHeight="1">
      <c r="A41" s="51" t="s">
        <v>324</v>
      </c>
      <c r="B41" s="23">
        <v>2020.0</v>
      </c>
      <c r="C41" s="50">
        <v>4.517531458585367</v>
      </c>
      <c r="D41" s="50">
        <v>1.1883002229361515</v>
      </c>
      <c r="E41" s="50">
        <v>5.158312862928622</v>
      </c>
      <c r="F41" s="50">
        <v>6.76160101822873</v>
      </c>
      <c r="G41" s="50">
        <v>4.406436390669718</v>
      </c>
      <c r="H41" s="50">
        <v>2.085986132927404</v>
      </c>
      <c r="I41" s="50">
        <v>2.646868642263472</v>
      </c>
      <c r="J41" s="50">
        <v>4.333451515688708</v>
      </c>
      <c r="K41" s="50">
        <v>3.0221020969598618</v>
      </c>
      <c r="L41" s="50">
        <v>3.7142692438147895</v>
      </c>
      <c r="M41" s="50">
        <v>1.0130509606328708</v>
      </c>
      <c r="N41" s="50">
        <v>2.213771087798532</v>
      </c>
      <c r="O41" s="50">
        <v>1.8145257571207465</v>
      </c>
      <c r="P41" s="50">
        <v>5.022421524663677</v>
      </c>
      <c r="Q41" s="50">
        <v>4.220742419948994</v>
      </c>
      <c r="R41" s="50">
        <v>2.856902350032964</v>
      </c>
      <c r="S41" s="50">
        <v>1.3111649492948265</v>
      </c>
      <c r="T41" s="50">
        <v>1.4200010901052154</v>
      </c>
      <c r="U41" s="50">
        <v>0.2915620758555397</v>
      </c>
      <c r="V41" s="50">
        <v>1.423941943480051</v>
      </c>
      <c r="W41" s="50">
        <v>1.1116675146839081</v>
      </c>
      <c r="X41" s="50">
        <v>1.9842849323584364</v>
      </c>
      <c r="Y41" s="50">
        <v>4.594702689111125</v>
      </c>
    </row>
    <row r="42" ht="14.25" hidden="1" customHeight="1">
      <c r="A42" s="49" t="s">
        <v>327</v>
      </c>
      <c r="B42" s="23">
        <v>2020.0</v>
      </c>
      <c r="C42" s="50">
        <v>4.238208347472005</v>
      </c>
      <c r="D42" s="50">
        <v>0.4829837850503474</v>
      </c>
      <c r="E42" s="50">
        <v>3.919281418423268</v>
      </c>
      <c r="F42" s="50">
        <v>5.244225372604378</v>
      </c>
      <c r="G42" s="50">
        <v>3.4711747308874994</v>
      </c>
      <c r="H42" s="50">
        <v>1.9781449674602491</v>
      </c>
      <c r="I42" s="50">
        <v>0.9282735102045272</v>
      </c>
      <c r="J42" s="50">
        <v>5.580866276664894</v>
      </c>
      <c r="K42" s="50">
        <v>2.82909491810989</v>
      </c>
      <c r="L42" s="50">
        <v>3.1501348244986946</v>
      </c>
      <c r="M42" s="50">
        <v>0.6449766219975396</v>
      </c>
      <c r="N42" s="50">
        <v>0.0</v>
      </c>
      <c r="O42" s="50">
        <v>1.881854513934503</v>
      </c>
      <c r="P42" s="50">
        <v>6.278026905829596</v>
      </c>
      <c r="Q42" s="50">
        <v>2.1479172570133183</v>
      </c>
      <c r="R42" s="50">
        <v>2.1905550597549914</v>
      </c>
      <c r="S42" s="50">
        <v>0.9391231234489212</v>
      </c>
      <c r="T42" s="50">
        <v>0.0</v>
      </c>
      <c r="U42" s="50">
        <v>0.0</v>
      </c>
      <c r="V42" s="50">
        <v>0.3765783696746793</v>
      </c>
      <c r="W42" s="50">
        <v>0.3289253732809001</v>
      </c>
      <c r="X42" s="50">
        <v>1.2597402165179459</v>
      </c>
      <c r="Y42" s="50">
        <v>4.3465092954885955</v>
      </c>
    </row>
    <row r="43" ht="14.25" hidden="1" customHeight="1">
      <c r="A43" s="51" t="s">
        <v>313</v>
      </c>
      <c r="B43" s="23">
        <v>2020.0</v>
      </c>
      <c r="C43" s="50">
        <v>7.227689175432643</v>
      </c>
      <c r="D43" s="50">
        <v>1.037965797160078</v>
      </c>
      <c r="E43" s="50">
        <v>5.9627140676197135</v>
      </c>
      <c r="F43" s="50">
        <v>7.611384428329591</v>
      </c>
      <c r="G43" s="50">
        <v>5.459938367135506</v>
      </c>
      <c r="H43" s="50">
        <v>3.585124374321617</v>
      </c>
      <c r="I43" s="50">
        <v>5.082980403765175</v>
      </c>
      <c r="J43" s="50">
        <v>5.486911304142291</v>
      </c>
      <c r="K43" s="50">
        <v>4.718338694076361</v>
      </c>
      <c r="L43" s="50">
        <v>5.089138530605934</v>
      </c>
      <c r="M43" s="50">
        <v>1.4381462619901528</v>
      </c>
      <c r="N43" s="50">
        <v>0.0</v>
      </c>
      <c r="O43" s="50">
        <v>3.0571536364607024</v>
      </c>
      <c r="P43" s="50">
        <v>7.354260089686099</v>
      </c>
      <c r="Q43" s="50">
        <v>3.5279115896854627</v>
      </c>
      <c r="R43" s="50">
        <v>3.075494315564483</v>
      </c>
      <c r="S43" s="50">
        <v>0.8974387798209895</v>
      </c>
      <c r="T43" s="50">
        <v>0.6479551111317104</v>
      </c>
      <c r="U43" s="50">
        <v>5.32166175305599</v>
      </c>
      <c r="V43" s="50">
        <v>2.0747679506575585</v>
      </c>
      <c r="W43" s="50">
        <v>2.2354558986665616</v>
      </c>
      <c r="X43" s="50">
        <v>2.6554751071155227</v>
      </c>
      <c r="Y43" s="50">
        <v>5.209068652132562</v>
      </c>
    </row>
    <row r="44" ht="14.25" hidden="1" customHeight="1">
      <c r="A44" s="49" t="s">
        <v>334</v>
      </c>
      <c r="B44" s="23">
        <v>2020.0</v>
      </c>
      <c r="C44" s="50">
        <v>1.2690872073294877</v>
      </c>
      <c r="D44" s="50">
        <v>0.008797321414674455</v>
      </c>
      <c r="E44" s="50">
        <v>2.0912455001921817</v>
      </c>
      <c r="F44" s="50">
        <v>1.254618491530107</v>
      </c>
      <c r="G44" s="50">
        <v>1.1559371301166128</v>
      </c>
      <c r="H44" s="50">
        <v>2.1170159877877217</v>
      </c>
      <c r="I44" s="50">
        <v>1.2924319202805807</v>
      </c>
      <c r="J44" s="50">
        <v>5.318205991845418</v>
      </c>
      <c r="K44" s="50">
        <v>2.909217966637907</v>
      </c>
      <c r="L44" s="50">
        <v>2.03257754837726</v>
      </c>
      <c r="M44" s="50">
        <v>0.0</v>
      </c>
      <c r="N44" s="50">
        <v>0.0</v>
      </c>
      <c r="O44" s="50">
        <v>0.0</v>
      </c>
      <c r="P44" s="50">
        <v>0.0</v>
      </c>
      <c r="Q44" s="50">
        <v>0.0</v>
      </c>
      <c r="R44" s="50">
        <v>0.0</v>
      </c>
      <c r="S44" s="50">
        <v>0.0</v>
      </c>
      <c r="T44" s="50">
        <v>0.0</v>
      </c>
      <c r="U44" s="50">
        <v>0.0</v>
      </c>
      <c r="V44" s="50">
        <v>0.2186855906138161</v>
      </c>
      <c r="W44" s="50">
        <v>0.054671397653454024</v>
      </c>
      <c r="X44" s="50">
        <v>0.027335698826727012</v>
      </c>
      <c r="Y44" s="50">
        <v>2.3179287076566926</v>
      </c>
    </row>
    <row r="45" ht="14.25" hidden="1" customHeight="1">
      <c r="A45" s="51" t="s">
        <v>335</v>
      </c>
      <c r="B45" s="23">
        <v>2020.0</v>
      </c>
      <c r="C45" s="50">
        <v>0.7872412623006448</v>
      </c>
      <c r="D45" s="50">
        <v>0.05406521270440106</v>
      </c>
      <c r="E45" s="50">
        <v>0.9663715362304524</v>
      </c>
      <c r="F45" s="50">
        <v>0.24314891641270042</v>
      </c>
      <c r="G45" s="50">
        <v>0.5127067319120497</v>
      </c>
      <c r="H45" s="50">
        <v>0.28953614546354367</v>
      </c>
      <c r="I45" s="50">
        <v>0.19651737068583786</v>
      </c>
      <c r="J45" s="50">
        <v>1.6117118714175973</v>
      </c>
      <c r="K45" s="50">
        <v>0.699255129188993</v>
      </c>
      <c r="L45" s="50">
        <v>0.6059809305505214</v>
      </c>
      <c r="M45" s="50">
        <v>4.502996356301888</v>
      </c>
      <c r="N45" s="50">
        <v>0.0</v>
      </c>
      <c r="O45" s="50">
        <v>3.4488394295390967</v>
      </c>
      <c r="P45" s="50">
        <v>5.47085201793722</v>
      </c>
      <c r="Q45" s="50">
        <v>9.016718617172003</v>
      </c>
      <c r="R45" s="50">
        <v>4.487881284190042</v>
      </c>
      <c r="S45" s="50">
        <v>0.0</v>
      </c>
      <c r="T45" s="50">
        <v>0.0</v>
      </c>
      <c r="U45" s="50">
        <v>0.0</v>
      </c>
      <c r="V45" s="50">
        <v>0.9250662451475195</v>
      </c>
      <c r="W45" s="50">
        <v>0.23126656128687986</v>
      </c>
      <c r="X45" s="50">
        <v>2.359573922738461</v>
      </c>
      <c r="Y45" s="50">
        <v>3.3564547642429963</v>
      </c>
    </row>
    <row r="46" ht="14.25" customHeight="1">
      <c r="A46" s="49" t="s">
        <v>315</v>
      </c>
      <c r="B46" s="23">
        <v>2020.0</v>
      </c>
      <c r="C46" s="50">
        <v>6.437770720194455</v>
      </c>
      <c r="D46" s="50">
        <v>0.7696861499000253</v>
      </c>
      <c r="E46" s="50">
        <v>7.059517779714187</v>
      </c>
      <c r="F46" s="50">
        <v>7.317938871766189</v>
      </c>
      <c r="G46" s="50">
        <v>5.396228380393714</v>
      </c>
      <c r="H46" s="50">
        <v>4.5458027665934715</v>
      </c>
      <c r="I46" s="50">
        <v>6.409590181137487</v>
      </c>
      <c r="J46" s="50">
        <v>7.940377001713644</v>
      </c>
      <c r="K46" s="50">
        <v>6.298589983148201</v>
      </c>
      <c r="L46" s="50">
        <v>5.847409181770957</v>
      </c>
      <c r="M46" s="50">
        <v>7.932299831245562</v>
      </c>
      <c r="N46" s="50">
        <v>9.403139214477678</v>
      </c>
      <c r="O46" s="50">
        <v>7.751704285066956</v>
      </c>
      <c r="P46" s="50">
        <v>4.349775784753363</v>
      </c>
      <c r="Q46" s="50">
        <v>3.18645508642675</v>
      </c>
      <c r="R46" s="50">
        <v>6.524674840394063</v>
      </c>
      <c r="S46" s="50">
        <v>6.328704434029072</v>
      </c>
      <c r="T46" s="50">
        <v>5.483226012170794</v>
      </c>
      <c r="U46" s="50">
        <v>1.407305925355974</v>
      </c>
      <c r="V46" s="50">
        <v>3.5011455310399002</v>
      </c>
      <c r="W46" s="50">
        <v>4.180095475648936</v>
      </c>
      <c r="X46" s="50">
        <v>5.352385158021499</v>
      </c>
      <c r="Y46" s="50">
        <v>5.763184192997124</v>
      </c>
    </row>
    <row r="47" ht="14.25" customHeight="1">
      <c r="A47" s="51" t="s">
        <v>307</v>
      </c>
      <c r="B47" s="23">
        <v>2020.0</v>
      </c>
      <c r="C47" s="50">
        <v>8.328507003894094</v>
      </c>
      <c r="D47" s="50">
        <v>0.9943852330856047</v>
      </c>
      <c r="E47" s="50">
        <v>7.074534601798414</v>
      </c>
      <c r="F47" s="50">
        <v>7.415283653728405</v>
      </c>
      <c r="G47" s="50">
        <v>5.95317762312663</v>
      </c>
      <c r="H47" s="50">
        <v>3.580450182080586</v>
      </c>
      <c r="I47" s="50">
        <v>3.577465361140665</v>
      </c>
      <c r="J47" s="50">
        <v>7.0684866749394315</v>
      </c>
      <c r="K47" s="50">
        <v>4.742134072720228</v>
      </c>
      <c r="L47" s="50">
        <v>5.347655847923429</v>
      </c>
      <c r="M47" s="50">
        <v>4.550705708101288</v>
      </c>
      <c r="N47" s="50">
        <v>4.80243508121203</v>
      </c>
      <c r="O47" s="50">
        <v>5.7543177919399895</v>
      </c>
      <c r="P47" s="50">
        <v>5.739910313901345</v>
      </c>
      <c r="Q47" s="50">
        <v>2.768489657126665</v>
      </c>
      <c r="R47" s="50">
        <v>4.723171710456263</v>
      </c>
      <c r="S47" s="50">
        <v>6.222059850042468</v>
      </c>
      <c r="T47" s="50">
        <v>3.675564906617252</v>
      </c>
      <c r="U47" s="50">
        <v>7.906237173510524</v>
      </c>
      <c r="V47" s="50">
        <v>8.120984999492148</v>
      </c>
      <c r="W47" s="50">
        <v>6.481211732415597</v>
      </c>
      <c r="X47" s="50">
        <v>5.602191721435929</v>
      </c>
      <c r="Y47" s="50">
        <v>6.3553584027506655</v>
      </c>
    </row>
    <row r="48" ht="14.25" hidden="1" customHeight="1">
      <c r="A48" s="49" t="s">
        <v>336</v>
      </c>
      <c r="B48" s="23">
        <v>2020.0</v>
      </c>
      <c r="C48" s="50">
        <v>0.030539531727180182</v>
      </c>
      <c r="D48" s="50">
        <v>0.18789794605467647</v>
      </c>
      <c r="E48" s="50">
        <v>3.6158545053179996</v>
      </c>
      <c r="F48" s="50">
        <v>0.0</v>
      </c>
      <c r="G48" s="50">
        <v>0.958572995774964</v>
      </c>
      <c r="H48" s="50">
        <v>0.011323334202458409</v>
      </c>
      <c r="I48" s="50">
        <v>0.0</v>
      </c>
      <c r="J48" s="50">
        <v>0.7386397210896413</v>
      </c>
      <c r="K48" s="50">
        <v>0.24998768509736657</v>
      </c>
      <c r="L48" s="50">
        <v>0.6042803404361653</v>
      </c>
      <c r="M48" s="50">
        <v>0.0</v>
      </c>
      <c r="N48" s="50">
        <v>0.0</v>
      </c>
      <c r="O48" s="50">
        <v>0.0</v>
      </c>
      <c r="P48" s="50">
        <v>0.0</v>
      </c>
      <c r="Q48" s="50">
        <v>0.0</v>
      </c>
      <c r="R48" s="50">
        <v>0.0</v>
      </c>
      <c r="S48" s="50">
        <v>0.0</v>
      </c>
      <c r="T48" s="50">
        <v>0.0</v>
      </c>
      <c r="U48" s="50">
        <v>0.0</v>
      </c>
      <c r="V48" s="50">
        <v>0.0</v>
      </c>
      <c r="W48" s="50">
        <v>0.0</v>
      </c>
      <c r="X48" s="50">
        <v>0.0</v>
      </c>
      <c r="Y48" s="50">
        <v>2.953398608006829</v>
      </c>
    </row>
    <row r="49" ht="14.25" hidden="1" customHeight="1">
      <c r="A49" s="51" t="s">
        <v>331</v>
      </c>
      <c r="B49" s="23">
        <v>2020.0</v>
      </c>
      <c r="C49" s="50">
        <v>1.9409569053274522</v>
      </c>
      <c r="D49" s="50">
        <v>0.30977584602606273</v>
      </c>
      <c r="E49" s="50">
        <v>3.837415134723123</v>
      </c>
      <c r="F49" s="50">
        <v>3.704472316643128</v>
      </c>
      <c r="G49" s="50">
        <v>2.4481550506799414</v>
      </c>
      <c r="H49" s="50">
        <v>1.487849998133083</v>
      </c>
      <c r="I49" s="50">
        <v>2.403438227519165</v>
      </c>
      <c r="J49" s="50">
        <v>0.9847544761567097</v>
      </c>
      <c r="K49" s="50">
        <v>1.6253475672696525</v>
      </c>
      <c r="L49" s="50">
        <v>2.0367513089747966</v>
      </c>
      <c r="M49" s="50">
        <v>0.0</v>
      </c>
      <c r="N49" s="50">
        <v>0.0</v>
      </c>
      <c r="O49" s="50">
        <v>0.0</v>
      </c>
      <c r="P49" s="50">
        <v>0.0</v>
      </c>
      <c r="Q49" s="50">
        <v>0.0</v>
      </c>
      <c r="R49" s="50">
        <v>0.0</v>
      </c>
      <c r="S49" s="50">
        <v>0.0</v>
      </c>
      <c r="T49" s="50">
        <v>0.0</v>
      </c>
      <c r="U49" s="50">
        <v>0.0</v>
      </c>
      <c r="V49" s="50">
        <v>0.4539252969908827</v>
      </c>
      <c r="W49" s="50">
        <v>0.11348132424772067</v>
      </c>
      <c r="X49" s="50">
        <v>0.056740662123860336</v>
      </c>
      <c r="Y49" s="50">
        <v>3.9401872349256726</v>
      </c>
    </row>
    <row r="50" ht="14.25" hidden="1" customHeight="1">
      <c r="A50" s="49" t="s">
        <v>328</v>
      </c>
      <c r="B50" s="23">
        <v>2020.0</v>
      </c>
      <c r="C50" s="50">
        <v>3.8785205293518827</v>
      </c>
      <c r="D50" s="50">
        <v>0.9106579557881439</v>
      </c>
      <c r="E50" s="50">
        <v>3.223223043571799</v>
      </c>
      <c r="F50" s="50">
        <v>3.9381236929938246</v>
      </c>
      <c r="G50" s="50">
        <v>2.9876313054264125</v>
      </c>
      <c r="H50" s="50">
        <v>2.6109032443783233</v>
      </c>
      <c r="I50" s="50">
        <v>2.8510077145085893</v>
      </c>
      <c r="J50" s="50">
        <v>4.28411038231992</v>
      </c>
      <c r="K50" s="50">
        <v>3.2486737804022776</v>
      </c>
      <c r="L50" s="50">
        <v>3.1181525429143453</v>
      </c>
      <c r="M50" s="50">
        <v>2.428600256318765</v>
      </c>
      <c r="N50" s="50">
        <v>0.868434913429481</v>
      </c>
      <c r="O50" s="50">
        <v>3.542975201753431</v>
      </c>
      <c r="P50" s="50">
        <v>7.040358744394619</v>
      </c>
      <c r="Q50" s="50">
        <v>3.716350240861434</v>
      </c>
      <c r="R50" s="50">
        <v>3.519343871351546</v>
      </c>
      <c r="S50" s="50">
        <v>0.3214710820566807</v>
      </c>
      <c r="T50" s="50">
        <v>0.0</v>
      </c>
      <c r="U50" s="50">
        <v>0.0</v>
      </c>
      <c r="V50" s="50">
        <v>0.6922755398718379</v>
      </c>
      <c r="W50" s="50">
        <v>0.2534366554821296</v>
      </c>
      <c r="X50" s="50">
        <v>1.8863902634168377</v>
      </c>
      <c r="Y50" s="50">
        <v>4.593677738192766</v>
      </c>
    </row>
    <row r="51" ht="14.25" hidden="1" customHeight="1">
      <c r="A51" s="51" t="s">
        <v>312</v>
      </c>
      <c r="B51" s="23">
        <v>2020.0</v>
      </c>
      <c r="C51" s="50">
        <v>7.241262300644724</v>
      </c>
      <c r="D51" s="50">
        <v>0.7035242181023689</v>
      </c>
      <c r="E51" s="50">
        <v>5.460028673378133</v>
      </c>
      <c r="F51" s="50">
        <v>6.855535873299441</v>
      </c>
      <c r="G51" s="50">
        <v>5.065087766356166</v>
      </c>
      <c r="H51" s="50">
        <v>3.2054877027738913</v>
      </c>
      <c r="I51" s="50">
        <v>3.964255341863492</v>
      </c>
      <c r="J51" s="50">
        <v>3.408970040772912</v>
      </c>
      <c r="K51" s="50">
        <v>3.526237695136765</v>
      </c>
      <c r="L51" s="50">
        <v>4.295662730746466</v>
      </c>
      <c r="M51" s="50">
        <v>1.8303131355376336</v>
      </c>
      <c r="N51" s="50">
        <v>0.0</v>
      </c>
      <c r="O51" s="50">
        <v>2.49215040564863</v>
      </c>
      <c r="P51" s="50">
        <v>7.219730941704037</v>
      </c>
      <c r="Q51" s="50">
        <v>2.3080192689147068</v>
      </c>
      <c r="R51" s="50">
        <v>2.7700427503610014</v>
      </c>
      <c r="S51" s="50">
        <v>4.441735638448842</v>
      </c>
      <c r="T51" s="50">
        <v>0.0</v>
      </c>
      <c r="U51" s="50">
        <v>0.0</v>
      </c>
      <c r="V51" s="50">
        <v>1.5370135654672679</v>
      </c>
      <c r="W51" s="50">
        <v>1.4946873009790274</v>
      </c>
      <c r="X51" s="50">
        <v>2.1323650256700146</v>
      </c>
      <c r="Y51" s="50">
        <v>5.18594105009246</v>
      </c>
    </row>
    <row r="52" ht="14.25" hidden="1" customHeight="1">
      <c r="A52" s="49" t="s">
        <v>314</v>
      </c>
      <c r="B52" s="23">
        <v>2020.0</v>
      </c>
      <c r="C52" s="50">
        <v>6.7288768238887</v>
      </c>
      <c r="D52" s="50">
        <v>0.8125507875763271</v>
      </c>
      <c r="E52" s="50">
        <v>5.7563656570313</v>
      </c>
      <c r="F52" s="50">
        <v>6.226105408723734</v>
      </c>
      <c r="G52" s="50">
        <v>4.880974669305015</v>
      </c>
      <c r="H52" s="50">
        <v>3.3990749633585517</v>
      </c>
      <c r="I52" s="50">
        <v>3.428746644085644</v>
      </c>
      <c r="J52" s="50">
        <v>3.501743189741772</v>
      </c>
      <c r="K52" s="50">
        <v>3.443188265728656</v>
      </c>
      <c r="L52" s="50">
        <v>4.1620814675168365</v>
      </c>
      <c r="M52" s="50">
        <v>1.121724748477781</v>
      </c>
      <c r="N52" s="50">
        <v>3.3091883653915795</v>
      </c>
      <c r="O52" s="50">
        <v>4.7661127480394665</v>
      </c>
      <c r="P52" s="50">
        <v>2.9596412556053813</v>
      </c>
      <c r="Q52" s="50">
        <v>2.7146500425049593</v>
      </c>
      <c r="R52" s="50">
        <v>2.9742634320038333</v>
      </c>
      <c r="S52" s="50">
        <v>0.0</v>
      </c>
      <c r="T52" s="50">
        <v>0.0</v>
      </c>
      <c r="U52" s="50">
        <v>0.0</v>
      </c>
      <c r="V52" s="50">
        <v>0.9096308959084722</v>
      </c>
      <c r="W52" s="50">
        <v>0.22740772397711806</v>
      </c>
      <c r="X52" s="50">
        <v>1.6008355779904757</v>
      </c>
      <c r="Y52" s="50">
        <v>5.0461434814877055</v>
      </c>
    </row>
    <row r="53" ht="14.25" customHeight="1">
      <c r="A53" s="51" t="s">
        <v>309</v>
      </c>
      <c r="B53" s="23">
        <v>2020.0</v>
      </c>
      <c r="C53" s="50">
        <v>7.642505089210211</v>
      </c>
      <c r="D53" s="50">
        <v>0.8169845479004694</v>
      </c>
      <c r="E53" s="50">
        <v>7.316308140264348</v>
      </c>
      <c r="F53" s="50">
        <v>8.93535706587533</v>
      </c>
      <c r="G53" s="50">
        <v>6.17778871081259</v>
      </c>
      <c r="H53" s="50">
        <v>5.361490120658034</v>
      </c>
      <c r="I53" s="50">
        <v>6.549965364173573</v>
      </c>
      <c r="J53" s="50">
        <v>4.344974295337706</v>
      </c>
      <c r="K53" s="50">
        <v>5.418809926723105</v>
      </c>
      <c r="L53" s="50">
        <v>5.798299318767848</v>
      </c>
      <c r="M53" s="50">
        <v>3.971205496168295</v>
      </c>
      <c r="N53" s="50">
        <v>1.2015806672470928</v>
      </c>
      <c r="O53" s="50">
        <v>3.531753266809938</v>
      </c>
      <c r="P53" s="50">
        <v>5.9192825112107625</v>
      </c>
      <c r="Q53" s="50">
        <v>4.277415698498158</v>
      </c>
      <c r="R53" s="50">
        <v>3.78024752798685</v>
      </c>
      <c r="S53" s="50">
        <v>5.337511396259787</v>
      </c>
      <c r="T53" s="50">
        <v>5.298849702152037</v>
      </c>
      <c r="U53" s="50">
        <v>3.75850271740261</v>
      </c>
      <c r="V53" s="50">
        <v>3.4019965668732377</v>
      </c>
      <c r="W53" s="50">
        <v>4.449215095671917</v>
      </c>
      <c r="X53" s="50">
        <v>4.114731311829384</v>
      </c>
      <c r="Y53" s="50">
        <v>5.874355333804189</v>
      </c>
    </row>
    <row r="54" ht="14.25" hidden="1" customHeight="1">
      <c r="A54" s="49" t="s">
        <v>316</v>
      </c>
      <c r="B54" s="23">
        <v>2020.0</v>
      </c>
      <c r="C54" s="50">
        <v>6.053613844587717</v>
      </c>
      <c r="D54" s="50">
        <v>0.7968597053216208</v>
      </c>
      <c r="E54" s="50">
        <v>6.02442272823159</v>
      </c>
      <c r="F54" s="50">
        <v>6.5637440853932025</v>
      </c>
      <c r="G54" s="50">
        <v>4.859660090883532</v>
      </c>
      <c r="H54" s="50">
        <v>7.496563354861166</v>
      </c>
      <c r="I54" s="50">
        <v>5.541025560148054</v>
      </c>
      <c r="J54" s="50">
        <v>5.065000295455889</v>
      </c>
      <c r="K54" s="50">
        <v>6.0341964034883695</v>
      </c>
      <c r="L54" s="50">
        <v>5.4469282471859515</v>
      </c>
      <c r="M54" s="50">
        <v>4.104665827757467</v>
      </c>
      <c r="N54" s="50">
        <v>2.6909180942548327</v>
      </c>
      <c r="O54" s="50">
        <v>5.6138545758220015</v>
      </c>
      <c r="P54" s="50">
        <v>10.0</v>
      </c>
      <c r="Q54" s="50">
        <v>2.9540946443751777</v>
      </c>
      <c r="R54" s="50">
        <v>5.072706628441895</v>
      </c>
      <c r="S54" s="50">
        <v>4.980524954195353</v>
      </c>
      <c r="T54" s="50">
        <v>0.0</v>
      </c>
      <c r="U54" s="50">
        <v>0.0</v>
      </c>
      <c r="V54" s="50">
        <v>1.242663307108</v>
      </c>
      <c r="W54" s="50">
        <v>1.5557970653258382</v>
      </c>
      <c r="X54" s="50">
        <v>3.3142518468838666</v>
      </c>
      <c r="Y54" s="50">
        <v>5.575975119456804</v>
      </c>
    </row>
    <row r="55" ht="14.25" hidden="1" customHeight="1">
      <c r="A55" s="51" t="s">
        <v>333</v>
      </c>
      <c r="B55" s="23">
        <v>2020.0</v>
      </c>
      <c r="C55" s="50">
        <v>1.7645062775704106</v>
      </c>
      <c r="D55" s="50">
        <v>0.00669665444782739</v>
      </c>
      <c r="E55" s="50">
        <v>2.2619333209932346</v>
      </c>
      <c r="F55" s="50">
        <v>2.040039651729391</v>
      </c>
      <c r="G55" s="50">
        <v>1.518293976185216</v>
      </c>
      <c r="H55" s="50">
        <v>0.7380614604826125</v>
      </c>
      <c r="I55" s="50">
        <v>1.0458321151146863</v>
      </c>
      <c r="J55" s="50">
        <v>3.5454706612302784</v>
      </c>
      <c r="K55" s="50">
        <v>1.7764547456091926</v>
      </c>
      <c r="L55" s="50">
        <v>1.6473743608972042</v>
      </c>
      <c r="M55" s="50">
        <v>0.0</v>
      </c>
      <c r="N55" s="50">
        <v>0.0</v>
      </c>
      <c r="O55" s="50">
        <v>0.3923915749456768</v>
      </c>
      <c r="P55" s="50">
        <v>0.0</v>
      </c>
      <c r="Q55" s="50">
        <v>0.0</v>
      </c>
      <c r="R55" s="50">
        <v>0.07847831498913535</v>
      </c>
      <c r="S55" s="50">
        <v>0.0</v>
      </c>
      <c r="T55" s="50">
        <v>0.0</v>
      </c>
      <c r="U55" s="50">
        <v>0.0</v>
      </c>
      <c r="V55" s="50">
        <v>0.0</v>
      </c>
      <c r="W55" s="50">
        <v>0.0</v>
      </c>
      <c r="X55" s="50">
        <v>0.039239157494567675</v>
      </c>
      <c r="Y55" s="50">
        <v>2.841369188265379</v>
      </c>
    </row>
    <row r="56" ht="14.25" hidden="1" customHeight="1">
      <c r="A56" s="49" t="s">
        <v>325</v>
      </c>
      <c r="B56" s="23">
        <v>2020.0</v>
      </c>
      <c r="C56" s="50">
        <v>4.384119443501866</v>
      </c>
      <c r="D56" s="50">
        <v>0.3281538989109256</v>
      </c>
      <c r="E56" s="50">
        <v>2.6916712397362237</v>
      </c>
      <c r="F56" s="50">
        <v>3.8928224012732704</v>
      </c>
      <c r="G56" s="50">
        <v>2.8241917458555714</v>
      </c>
      <c r="H56" s="50">
        <v>2.128480474315974</v>
      </c>
      <c r="I56" s="50">
        <v>1.6471185540058062</v>
      </c>
      <c r="J56" s="50">
        <v>2.500147727944218</v>
      </c>
      <c r="K56" s="50">
        <v>2.0919155854219995</v>
      </c>
      <c r="L56" s="50">
        <v>2.4580536656387855</v>
      </c>
      <c r="M56" s="50">
        <v>0.8469478159270687</v>
      </c>
      <c r="N56" s="50">
        <v>0.0</v>
      </c>
      <c r="O56" s="50">
        <v>2.224033033910278</v>
      </c>
      <c r="P56" s="50">
        <v>0.0</v>
      </c>
      <c r="Q56" s="50">
        <v>4.7223009351090965</v>
      </c>
      <c r="R56" s="50">
        <v>1.5586563569892884</v>
      </c>
      <c r="S56" s="50">
        <v>0.0</v>
      </c>
      <c r="T56" s="50">
        <v>0.0</v>
      </c>
      <c r="U56" s="50">
        <v>0.0</v>
      </c>
      <c r="V56" s="50">
        <v>0.6593359962589207</v>
      </c>
      <c r="W56" s="50">
        <v>0.16483399906473017</v>
      </c>
      <c r="X56" s="50">
        <v>0.8617451780270092</v>
      </c>
      <c r="Y56" s="50">
        <v>3.687351788728895</v>
      </c>
    </row>
    <row r="57" ht="14.25" hidden="1" customHeight="1">
      <c r="A57" s="51" t="s">
        <v>326</v>
      </c>
      <c r="B57" s="23">
        <v>2020.0</v>
      </c>
      <c r="C57" s="50">
        <v>3.678316932473702</v>
      </c>
      <c r="D57" s="50">
        <v>0.6564631484268485</v>
      </c>
      <c r="E57" s="50">
        <v>1.873208945287691</v>
      </c>
      <c r="F57" s="50">
        <v>4.423953015935796</v>
      </c>
      <c r="G57" s="50">
        <v>2.657985510531009</v>
      </c>
      <c r="H57" s="50">
        <v>1.8265643236077147</v>
      </c>
      <c r="I57" s="50">
        <v>1.4865623911943717</v>
      </c>
      <c r="J57" s="50">
        <v>4.431838326537848</v>
      </c>
      <c r="K57" s="50">
        <v>2.581655013779978</v>
      </c>
      <c r="L57" s="50">
        <v>2.6198202621554936</v>
      </c>
      <c r="M57" s="50">
        <v>3.3759532829250367</v>
      </c>
      <c r="N57" s="50">
        <v>0.0</v>
      </c>
      <c r="O57" s="50">
        <v>4.63773256762285</v>
      </c>
      <c r="P57" s="50">
        <v>7.488789237668161</v>
      </c>
      <c r="Q57" s="50">
        <v>1.932558798526495</v>
      </c>
      <c r="R57" s="50">
        <v>3.4870067773485087</v>
      </c>
      <c r="S57" s="50">
        <v>0.0</v>
      </c>
      <c r="T57" s="50">
        <v>3.54907417902972</v>
      </c>
      <c r="U57" s="50">
        <v>1.4574290713065983</v>
      </c>
      <c r="V57" s="50">
        <v>0.23117795205099623</v>
      </c>
      <c r="W57" s="50">
        <v>1.3094203005968286</v>
      </c>
      <c r="X57" s="50">
        <v>2.3982135389726684</v>
      </c>
      <c r="Y57" s="50">
        <v>3.9331101389886287</v>
      </c>
    </row>
    <row r="58" ht="14.25" hidden="1" customHeight="1">
      <c r="A58" s="49" t="s">
        <v>330</v>
      </c>
      <c r="B58" s="23">
        <v>2020.0</v>
      </c>
      <c r="C58" s="50">
        <v>2.3990498812351544</v>
      </c>
      <c r="D58" s="50">
        <v>0.034433539879129754</v>
      </c>
      <c r="E58" s="50">
        <v>4.696153657390431</v>
      </c>
      <c r="F58" s="50">
        <v>7.364539938644173</v>
      </c>
      <c r="G58" s="50">
        <v>3.6235442542872223</v>
      </c>
      <c r="H58" s="50">
        <v>2.4559862011378852</v>
      </c>
      <c r="I58" s="50">
        <v>0.7266183908352754</v>
      </c>
      <c r="J58" s="50">
        <v>1.4772794421792825</v>
      </c>
      <c r="K58" s="50">
        <v>1.5532946780508141</v>
      </c>
      <c r="L58" s="50">
        <v>2.588419466169018</v>
      </c>
      <c r="M58" s="50">
        <v>0.0</v>
      </c>
      <c r="N58" s="50">
        <v>0.0</v>
      </c>
      <c r="O58" s="50">
        <v>0.8552991701732979</v>
      </c>
      <c r="P58" s="50">
        <v>0.0</v>
      </c>
      <c r="Q58" s="50">
        <v>0.0</v>
      </c>
      <c r="R58" s="50">
        <v>0.17105983403465957</v>
      </c>
      <c r="S58" s="50">
        <v>2.8455307330393484</v>
      </c>
      <c r="T58" s="50">
        <v>0.0</v>
      </c>
      <c r="U58" s="50">
        <v>0.0</v>
      </c>
      <c r="V58" s="50">
        <v>4.437329226984323</v>
      </c>
      <c r="W58" s="50">
        <v>1.820714990005918</v>
      </c>
      <c r="X58" s="50">
        <v>0.9958874120202887</v>
      </c>
      <c r="Y58" s="50">
        <v>4.842438497286242</v>
      </c>
    </row>
    <row r="59" ht="14.25" hidden="1" customHeight="1">
      <c r="A59" s="51" t="s">
        <v>332</v>
      </c>
      <c r="B59" s="23">
        <v>2020.0</v>
      </c>
      <c r="C59" s="50">
        <v>1.3607058025110281</v>
      </c>
      <c r="D59" s="50">
        <v>0.4659083453641413</v>
      </c>
      <c r="E59" s="50">
        <v>4.8264385364014135</v>
      </c>
      <c r="F59" s="50">
        <v>5.758407540630958</v>
      </c>
      <c r="G59" s="50">
        <v>3.102865056226885</v>
      </c>
      <c r="H59" s="50">
        <v>3.155410563816406</v>
      </c>
      <c r="I59" s="50">
        <v>1.5170158354270518</v>
      </c>
      <c r="J59" s="50">
        <v>2.954558884358565</v>
      </c>
      <c r="K59" s="50">
        <v>2.5423284278673415</v>
      </c>
      <c r="L59" s="50">
        <v>2.8225967420471134</v>
      </c>
      <c r="M59" s="50">
        <v>1.013553345837593</v>
      </c>
      <c r="N59" s="50">
        <v>0.0</v>
      </c>
      <c r="O59" s="50">
        <v>0.0</v>
      </c>
      <c r="P59" s="50">
        <v>0.0</v>
      </c>
      <c r="Q59" s="50">
        <v>0.0</v>
      </c>
      <c r="R59" s="50">
        <v>0.2027106691675186</v>
      </c>
      <c r="S59" s="50">
        <v>0.0</v>
      </c>
      <c r="T59" s="50">
        <v>0.0</v>
      </c>
      <c r="U59" s="50">
        <v>0.0</v>
      </c>
      <c r="V59" s="50">
        <v>0.0438353259966332</v>
      </c>
      <c r="W59" s="50">
        <v>0.0109588314991583</v>
      </c>
      <c r="X59" s="50">
        <v>0.10683475033333845</v>
      </c>
      <c r="Y59" s="50">
        <v>3.305792839353466</v>
      </c>
    </row>
    <row r="60" ht="14.25" hidden="1" customHeight="1">
      <c r="A60" s="49" t="s">
        <v>319</v>
      </c>
      <c r="B60" s="23">
        <v>2020.0</v>
      </c>
      <c r="C60" s="50">
        <v>5.364777740074651</v>
      </c>
      <c r="D60" s="50">
        <v>1.052818669497122</v>
      </c>
      <c r="E60" s="50">
        <v>3.8847664507645323</v>
      </c>
      <c r="F60" s="50">
        <v>4.778276124460811</v>
      </c>
      <c r="G60" s="50">
        <v>3.7701597461992793</v>
      </c>
      <c r="H60" s="50">
        <v>2.6660855238787744</v>
      </c>
      <c r="I60" s="50">
        <v>2.272273990617391</v>
      </c>
      <c r="J60" s="50">
        <v>5.387638125627844</v>
      </c>
      <c r="K60" s="50">
        <v>3.4419992133746695</v>
      </c>
      <c r="L60" s="50">
        <v>3.6060794797869744</v>
      </c>
      <c r="M60" s="50">
        <v>3.0638774616681097</v>
      </c>
      <c r="N60" s="50">
        <v>3.3245839551039262</v>
      </c>
      <c r="O60" s="50">
        <v>3.52956311623891</v>
      </c>
      <c r="P60" s="50">
        <v>6.278026905829596</v>
      </c>
      <c r="Q60" s="50">
        <v>3.8580334372343437</v>
      </c>
      <c r="R60" s="50">
        <v>4.0108169752149765</v>
      </c>
      <c r="S60" s="50">
        <v>0.6153354643556279</v>
      </c>
      <c r="T60" s="50">
        <v>0.6664127428324919</v>
      </c>
      <c r="U60" s="50">
        <v>0.547325446524632</v>
      </c>
      <c r="V60" s="50">
        <v>0.836184499681793</v>
      </c>
      <c r="W60" s="50">
        <v>0.6663145383486362</v>
      </c>
      <c r="X60" s="50">
        <v>2.338565756781806</v>
      </c>
      <c r="Y60" s="50">
        <v>4.8370126674185325</v>
      </c>
    </row>
    <row r="61" ht="14.25" hidden="1" customHeight="1">
      <c r="A61" s="51" t="s">
        <v>323</v>
      </c>
      <c r="B61" s="23">
        <v>2020.0</v>
      </c>
      <c r="C61" s="50">
        <v>4.251781472684085</v>
      </c>
      <c r="D61" s="50">
        <v>0.7324042782240032</v>
      </c>
      <c r="E61" s="50">
        <v>3.2161412932658644</v>
      </c>
      <c r="F61" s="50">
        <v>3.3279075087636762</v>
      </c>
      <c r="G61" s="50">
        <v>2.8820586382344073</v>
      </c>
      <c r="H61" s="50">
        <v>1.638619607532661</v>
      </c>
      <c r="I61" s="50">
        <v>3.052420201118294</v>
      </c>
      <c r="J61" s="50">
        <v>3.9393133605152753</v>
      </c>
      <c r="K61" s="50">
        <v>2.8767843897220766</v>
      </c>
      <c r="L61" s="50">
        <v>2.879421513978242</v>
      </c>
      <c r="M61" s="50">
        <v>2.3054851196564523</v>
      </c>
      <c r="N61" s="50">
        <v>0.0</v>
      </c>
      <c r="O61" s="50">
        <v>4.484490787482498</v>
      </c>
      <c r="P61" s="50">
        <v>3.901345291479821</v>
      </c>
      <c r="Q61" s="50">
        <v>2.3618588835364127</v>
      </c>
      <c r="R61" s="50">
        <v>2.6106360164310365</v>
      </c>
      <c r="S61" s="50">
        <v>0.5594865283466135</v>
      </c>
      <c r="T61" s="50">
        <v>0.0</v>
      </c>
      <c r="U61" s="50">
        <v>0.0</v>
      </c>
      <c r="V61" s="50">
        <v>0.48193303856037867</v>
      </c>
      <c r="W61" s="50">
        <v>0.2603548917267481</v>
      </c>
      <c r="X61" s="50">
        <v>1.4354954540788922</v>
      </c>
      <c r="Y61" s="50">
        <v>4.36640114375142</v>
      </c>
    </row>
    <row r="62" ht="14.25" customHeight="1">
      <c r="A62" s="49" t="s">
        <v>308</v>
      </c>
      <c r="B62" s="23">
        <v>2020.0</v>
      </c>
      <c r="C62" s="50">
        <v>8.401764506277571</v>
      </c>
      <c r="D62" s="50">
        <v>0.7656491810320692</v>
      </c>
      <c r="E62" s="50">
        <v>6.663432768290594</v>
      </c>
      <c r="F62" s="50">
        <v>7.126196777328044</v>
      </c>
      <c r="G62" s="50">
        <v>5.7392608082320695</v>
      </c>
      <c r="H62" s="50">
        <v>8.401211370837085</v>
      </c>
      <c r="I62" s="50">
        <v>7.443645508685646</v>
      </c>
      <c r="J62" s="50">
        <v>7.940377001713644</v>
      </c>
      <c r="K62" s="50">
        <v>7.928411293745459</v>
      </c>
      <c r="L62" s="50">
        <v>6.833836050988764</v>
      </c>
      <c r="M62" s="50">
        <v>9.056079344941644</v>
      </c>
      <c r="N62" s="50">
        <v>10.0</v>
      </c>
      <c r="O62" s="50">
        <v>8.389235752575651</v>
      </c>
      <c r="P62" s="50">
        <v>5.739910313901345</v>
      </c>
      <c r="Q62" s="50">
        <v>2.439784641541513</v>
      </c>
      <c r="R62" s="50">
        <v>7.125002010592031</v>
      </c>
      <c r="S62" s="50">
        <v>4.546956314897095</v>
      </c>
      <c r="T62" s="50">
        <v>1.9697545842076432</v>
      </c>
      <c r="U62" s="50">
        <v>0.8088806966408634</v>
      </c>
      <c r="V62" s="50">
        <v>2.21494883297993</v>
      </c>
      <c r="W62" s="50">
        <v>2.385135107181383</v>
      </c>
      <c r="X62" s="50">
        <v>4.755068558886707</v>
      </c>
      <c r="Y62" s="50">
        <v>6.270664077715096</v>
      </c>
    </row>
    <row r="63" ht="14.25" hidden="1" customHeight="1">
      <c r="A63" s="51" t="s">
        <v>321</v>
      </c>
      <c r="B63" s="23">
        <v>2020.0</v>
      </c>
      <c r="C63" s="50">
        <v>4.706481167288769</v>
      </c>
      <c r="D63" s="50">
        <v>0.9138560219348433</v>
      </c>
      <c r="E63" s="50">
        <v>3.8144049576733523</v>
      </c>
      <c r="F63" s="50">
        <v>6.201572726192477</v>
      </c>
      <c r="G63" s="50">
        <v>3.9090787182723603</v>
      </c>
      <c r="H63" s="50">
        <v>2.330556588460261</v>
      </c>
      <c r="I63" s="50">
        <v>2.023220561670575</v>
      </c>
      <c r="J63" s="50">
        <v>4.103586834485611</v>
      </c>
      <c r="K63" s="50">
        <v>2.819121328205483</v>
      </c>
      <c r="L63" s="50">
        <v>3.3641000232389215</v>
      </c>
      <c r="M63" s="50">
        <v>0.8576367842455035</v>
      </c>
      <c r="N63" s="50">
        <v>0.0</v>
      </c>
      <c r="O63" s="50">
        <v>1.2355279662236298</v>
      </c>
      <c r="P63" s="50">
        <v>5.9192825112107625</v>
      </c>
      <c r="Q63" s="50">
        <v>5.920940776423916</v>
      </c>
      <c r="R63" s="50">
        <v>2.7866776076207627</v>
      </c>
      <c r="S63" s="50">
        <v>0.0</v>
      </c>
      <c r="T63" s="50">
        <v>0.0</v>
      </c>
      <c r="U63" s="50">
        <v>0.27768707322683417</v>
      </c>
      <c r="V63" s="50">
        <v>0.5007428966711267</v>
      </c>
      <c r="W63" s="50">
        <v>0.19460749247449022</v>
      </c>
      <c r="X63" s="50">
        <v>1.4906425500476264</v>
      </c>
      <c r="Y63" s="50">
        <v>4.474741519603281</v>
      </c>
    </row>
    <row r="64" ht="14.25" hidden="1" customHeight="1">
      <c r="A64" s="49" t="s">
        <v>317</v>
      </c>
      <c r="B64" s="23">
        <v>2020.0</v>
      </c>
      <c r="C64" s="50">
        <v>6.185951815405498</v>
      </c>
      <c r="D64" s="50">
        <v>1.1551304630081807</v>
      </c>
      <c r="E64" s="50">
        <v>5.748648334707244</v>
      </c>
      <c r="F64" s="50">
        <v>8.151032190835135</v>
      </c>
      <c r="G64" s="50">
        <v>5.310190700989015</v>
      </c>
      <c r="H64" s="50">
        <v>1.3595303112988377</v>
      </c>
      <c r="I64" s="50">
        <v>2.3246766008606183</v>
      </c>
      <c r="J64" s="50">
        <v>2.954558884358565</v>
      </c>
      <c r="K64" s="50">
        <v>2.212921932172674</v>
      </c>
      <c r="L64" s="50">
        <v>3.761556316580844</v>
      </c>
      <c r="M64" s="50">
        <v>0.4088117377057735</v>
      </c>
      <c r="N64" s="50">
        <v>0.0</v>
      </c>
      <c r="O64" s="50">
        <v>1.833920701321485</v>
      </c>
      <c r="P64" s="50">
        <v>6.233183856502241</v>
      </c>
      <c r="Q64" s="50">
        <v>0.9917823746103713</v>
      </c>
      <c r="R64" s="50">
        <v>1.893539734027974</v>
      </c>
      <c r="S64" s="50">
        <v>1.1905068894676674</v>
      </c>
      <c r="T64" s="50">
        <v>1.289327541688066</v>
      </c>
      <c r="U64" s="50">
        <v>0.26473149713176536</v>
      </c>
      <c r="V64" s="50">
        <v>0.839836209599542</v>
      </c>
      <c r="W64" s="50">
        <v>0.8961005344717603</v>
      </c>
      <c r="X64" s="50">
        <v>1.3948201342498674</v>
      </c>
      <c r="Y64" s="50">
        <v>4.518714864951697</v>
      </c>
    </row>
    <row r="65" ht="14.25" hidden="1" customHeight="1">
      <c r="A65" s="51" t="s">
        <v>322</v>
      </c>
      <c r="B65" s="23">
        <v>2020.0</v>
      </c>
      <c r="C65" s="50">
        <v>5.697319307770615</v>
      </c>
      <c r="D65" s="50">
        <v>0.6818797760423148</v>
      </c>
      <c r="E65" s="50">
        <v>5.885524359698251</v>
      </c>
      <c r="F65" s="50">
        <v>6.998254642270995</v>
      </c>
      <c r="G65" s="50">
        <v>4.815744521445544</v>
      </c>
      <c r="H65" s="50">
        <v>2.032984223152207</v>
      </c>
      <c r="I65" s="50">
        <v>1.4268474361602879</v>
      </c>
      <c r="J65" s="50">
        <v>2.626307392306329</v>
      </c>
      <c r="K65" s="50">
        <v>2.028713017206275</v>
      </c>
      <c r="L65" s="50">
        <v>3.4222287693259097</v>
      </c>
      <c r="M65" s="50">
        <v>0.0</v>
      </c>
      <c r="N65" s="50">
        <v>0.0</v>
      </c>
      <c r="O65" s="50">
        <v>0.601576673985895</v>
      </c>
      <c r="P65" s="50">
        <v>0.35874439461883406</v>
      </c>
      <c r="Q65" s="50">
        <v>0.0</v>
      </c>
      <c r="R65" s="50">
        <v>0.19206421372094581</v>
      </c>
      <c r="S65" s="50">
        <v>0.0</v>
      </c>
      <c r="T65" s="50">
        <v>0.0</v>
      </c>
      <c r="U65" s="50">
        <v>0.8216328795030604</v>
      </c>
      <c r="V65" s="50">
        <v>0.7545288992893779</v>
      </c>
      <c r="W65" s="50">
        <v>0.3940404446981096</v>
      </c>
      <c r="X65" s="50">
        <v>0.29305232920952773</v>
      </c>
      <c r="Y65" s="50">
        <v>4.394025396269952</v>
      </c>
    </row>
    <row r="66" ht="14.25" hidden="1" customHeight="1">
      <c r="A66" s="49" t="s">
        <v>329</v>
      </c>
      <c r="B66" s="52">
        <v>2021.0</v>
      </c>
      <c r="C66" s="50">
        <v>3.3661350525958604</v>
      </c>
      <c r="D66" s="50">
        <v>0.4536856829165635</v>
      </c>
      <c r="E66" s="50">
        <v>2.081354005539669</v>
      </c>
      <c r="F66" s="50">
        <v>5.388455819020903</v>
      </c>
      <c r="G66" s="50">
        <v>2.822407640018249</v>
      </c>
      <c r="H66" s="50">
        <v>0.3433364727240282</v>
      </c>
      <c r="I66" s="50">
        <v>0.5710361995945606</v>
      </c>
      <c r="J66" s="50">
        <v>0.8441174732612422</v>
      </c>
      <c r="K66" s="50">
        <v>0.5861633818599437</v>
      </c>
      <c r="L66" s="50">
        <v>1.7042855109390964</v>
      </c>
      <c r="M66" s="50">
        <v>0.0</v>
      </c>
      <c r="N66" s="50">
        <v>0.0</v>
      </c>
      <c r="O66" s="50">
        <v>0.4298139842621626</v>
      </c>
      <c r="P66" s="50">
        <v>0.0</v>
      </c>
      <c r="Q66" s="50">
        <v>0.0</v>
      </c>
      <c r="R66" s="50">
        <v>0.08596279685243252</v>
      </c>
      <c r="S66" s="50">
        <v>0.0</v>
      </c>
      <c r="T66" s="50">
        <v>0.0</v>
      </c>
      <c r="U66" s="50">
        <v>0.0</v>
      </c>
      <c r="V66" s="50">
        <v>0.28032948244781863</v>
      </c>
      <c r="W66" s="50">
        <v>0.07008237061195466</v>
      </c>
      <c r="X66" s="50">
        <v>0.07802258373219359</v>
      </c>
      <c r="Y66" s="50">
        <v>3.427428808717075</v>
      </c>
    </row>
    <row r="67" ht="14.25" hidden="1" customHeight="1">
      <c r="A67" s="51" t="s">
        <v>306</v>
      </c>
      <c r="B67" s="23">
        <v>2021.0</v>
      </c>
      <c r="C67" s="50">
        <v>9.538513742789277</v>
      </c>
      <c r="D67" s="50">
        <v>1.4739990128302296</v>
      </c>
      <c r="E67" s="50">
        <v>5.578772091038728</v>
      </c>
      <c r="F67" s="50">
        <v>6.773650562784005</v>
      </c>
      <c r="G67" s="50">
        <v>5.84123385236056</v>
      </c>
      <c r="H67" s="50">
        <v>5.051818083355654</v>
      </c>
      <c r="I67" s="50">
        <v>3.1364378599305343</v>
      </c>
      <c r="J67" s="50">
        <v>4.103586834485611</v>
      </c>
      <c r="K67" s="50">
        <v>4.097280925923934</v>
      </c>
      <c r="L67" s="50">
        <v>4.969257389142246</v>
      </c>
      <c r="M67" s="50">
        <v>1.0918776246769426</v>
      </c>
      <c r="N67" s="50">
        <v>1.4316163021535888</v>
      </c>
      <c r="O67" s="50">
        <v>4.088420081878238</v>
      </c>
      <c r="P67" s="50">
        <v>4.5291479820627805</v>
      </c>
      <c r="Q67" s="50">
        <v>2.8138282799659957</v>
      </c>
      <c r="R67" s="50">
        <v>2.7909780541475095</v>
      </c>
      <c r="S67" s="50">
        <v>9.009074817984478</v>
      </c>
      <c r="T67" s="50">
        <v>6.887218559571437</v>
      </c>
      <c r="U67" s="50">
        <v>3.2996130023286647</v>
      </c>
      <c r="V67" s="50">
        <v>2.235211818178731</v>
      </c>
      <c r="W67" s="50">
        <v>5.357779549515827</v>
      </c>
      <c r="X67" s="50">
        <v>4.074378801831669</v>
      </c>
      <c r="Y67" s="50">
        <v>5.2867736260276645</v>
      </c>
    </row>
    <row r="68" ht="14.25" hidden="1" customHeight="1">
      <c r="A68" s="49" t="s">
        <v>320</v>
      </c>
      <c r="B68" s="23">
        <v>2021.0</v>
      </c>
      <c r="C68" s="50">
        <v>6.003541817313653</v>
      </c>
      <c r="D68" s="50">
        <v>2.163502413978323</v>
      </c>
      <c r="E68" s="50">
        <v>6.153825053899039</v>
      </c>
      <c r="F68" s="50">
        <v>7.431181066766151</v>
      </c>
      <c r="G68" s="50">
        <v>5.4380125879892915</v>
      </c>
      <c r="H68" s="50">
        <v>2.708815644850655</v>
      </c>
      <c r="I68" s="50">
        <v>3.0600206723111127</v>
      </c>
      <c r="J68" s="50">
        <v>5.768480765821663</v>
      </c>
      <c r="K68" s="50">
        <v>3.845772360994477</v>
      </c>
      <c r="L68" s="50">
        <v>4.641892474491884</v>
      </c>
      <c r="M68" s="50">
        <v>3.6389303268792865</v>
      </c>
      <c r="N68" s="50">
        <v>5.6352598575243675</v>
      </c>
      <c r="O68" s="50">
        <v>5.032787371807837</v>
      </c>
      <c r="P68" s="50">
        <v>5.246636771300448</v>
      </c>
      <c r="Q68" s="50">
        <v>2.983848115613488</v>
      </c>
      <c r="R68" s="50">
        <v>4.507492488625085</v>
      </c>
      <c r="S68" s="50">
        <v>2.8369879610256055</v>
      </c>
      <c r="T68" s="50">
        <v>1.8073402405549452</v>
      </c>
      <c r="U68" s="50">
        <v>0.8164036824814638</v>
      </c>
      <c r="V68" s="50">
        <v>2.7287576304383308</v>
      </c>
      <c r="W68" s="50">
        <v>2.047372378625086</v>
      </c>
      <c r="X68" s="50">
        <v>3.277432433625086</v>
      </c>
      <c r="Y68" s="50">
        <v>5.669462943417085</v>
      </c>
    </row>
    <row r="69" ht="14.25" customHeight="1">
      <c r="A69" s="51" t="s">
        <v>305</v>
      </c>
      <c r="B69" s="23">
        <v>2021.0</v>
      </c>
      <c r="C69" s="50">
        <v>9.049881235154395</v>
      </c>
      <c r="D69" s="50">
        <v>2.5865928577180757</v>
      </c>
      <c r="E69" s="50">
        <v>9.568893527742695</v>
      </c>
      <c r="F69" s="50">
        <v>9.513600979353026</v>
      </c>
      <c r="G69" s="50">
        <v>7.679742149992048</v>
      </c>
      <c r="H69" s="50">
        <v>4.168252626073966</v>
      </c>
      <c r="I69" s="50">
        <v>4.704661339260042</v>
      </c>
      <c r="J69" s="50">
        <v>7.677421261005732</v>
      </c>
      <c r="K69" s="50">
        <v>5.516778408779913</v>
      </c>
      <c r="L69" s="50">
        <v>6.598260279385981</v>
      </c>
      <c r="M69" s="50">
        <v>4.137952880027702</v>
      </c>
      <c r="N69" s="50">
        <v>6.723487067229002</v>
      </c>
      <c r="O69" s="50">
        <v>5.5826233172740745</v>
      </c>
      <c r="P69" s="50">
        <v>7.713004484304933</v>
      </c>
      <c r="Q69" s="50">
        <v>2.8124114480022673</v>
      </c>
      <c r="R69" s="50">
        <v>5.393895839367595</v>
      </c>
      <c r="S69" s="50">
        <v>6.014727591065831</v>
      </c>
      <c r="T69" s="50">
        <v>5.480739216717598</v>
      </c>
      <c r="U69" s="50">
        <v>4.150822641609302</v>
      </c>
      <c r="V69" s="50">
        <v>8.073663191657287</v>
      </c>
      <c r="W69" s="50">
        <v>5.929988160262505</v>
      </c>
      <c r="X69" s="50">
        <v>5.66194199981505</v>
      </c>
      <c r="Y69" s="50">
        <v>6.885687825139425</v>
      </c>
    </row>
    <row r="70" ht="14.25" customHeight="1">
      <c r="A70" s="49" t="s">
        <v>310</v>
      </c>
      <c r="B70" s="23">
        <v>2021.0</v>
      </c>
      <c r="C70" s="50">
        <v>7.772498029981954</v>
      </c>
      <c r="D70" s="50">
        <v>2.142690954111321</v>
      </c>
      <c r="E70" s="50">
        <v>7.09192711376157</v>
      </c>
      <c r="F70" s="50">
        <v>7.984442141914703</v>
      </c>
      <c r="G70" s="50">
        <v>6.247889559942388</v>
      </c>
      <c r="H70" s="50">
        <v>4.006233807156984</v>
      </c>
      <c r="I70" s="50">
        <v>3.4499315169036175</v>
      </c>
      <c r="J70" s="50">
        <v>7.058145718844177</v>
      </c>
      <c r="K70" s="50">
        <v>4.83810368096826</v>
      </c>
      <c r="L70" s="50">
        <v>5.542996620455324</v>
      </c>
      <c r="M70" s="50">
        <v>3.6897765392980237</v>
      </c>
      <c r="N70" s="50">
        <v>2.7319644622503727</v>
      </c>
      <c r="O70" s="50">
        <v>5.192865425830404</v>
      </c>
      <c r="P70" s="50">
        <v>5.246636771300448</v>
      </c>
      <c r="Q70" s="50">
        <v>2.7429866817795414</v>
      </c>
      <c r="R70" s="50">
        <v>3.9208459760917576</v>
      </c>
      <c r="S70" s="50">
        <v>6.952682305710835</v>
      </c>
      <c r="T70" s="50">
        <v>3.2857331116228377</v>
      </c>
      <c r="U70" s="50">
        <v>2.02393189711084</v>
      </c>
      <c r="V70" s="50">
        <v>2.804848225943102</v>
      </c>
      <c r="W70" s="50">
        <v>3.766798885096904</v>
      </c>
      <c r="X70" s="50">
        <v>3.8438224305943303</v>
      </c>
      <c r="Y70" s="50">
        <v>5.802659282268337</v>
      </c>
    </row>
    <row r="71" ht="14.25" hidden="1" customHeight="1">
      <c r="A71" s="51" t="s">
        <v>311</v>
      </c>
      <c r="B71" s="23">
        <v>2021.0</v>
      </c>
      <c r="C71" s="50">
        <v>7.942823782009603</v>
      </c>
      <c r="D71" s="50">
        <v>2.241778698841307</v>
      </c>
      <c r="E71" s="50">
        <v>7.231059969207195</v>
      </c>
      <c r="F71" s="50">
        <v>8.592928016580974</v>
      </c>
      <c r="G71" s="50">
        <v>6.50214761665977</v>
      </c>
      <c r="H71" s="50">
        <v>2.267206793795496</v>
      </c>
      <c r="I71" s="50">
        <v>2.1190210738683306</v>
      </c>
      <c r="J71" s="50">
        <v>5.2978195355433435</v>
      </c>
      <c r="K71" s="50">
        <v>3.228015801069057</v>
      </c>
      <c r="L71" s="50">
        <v>4.865081708864414</v>
      </c>
      <c r="M71" s="50">
        <v>3.5275885637703186</v>
      </c>
      <c r="N71" s="50">
        <v>2.7386057542093596</v>
      </c>
      <c r="O71" s="50">
        <v>3.96125021581875</v>
      </c>
      <c r="P71" s="50">
        <v>5.605381165919282</v>
      </c>
      <c r="Q71" s="50">
        <v>3.3097194672711816</v>
      </c>
      <c r="R71" s="50">
        <v>3.828509033397779</v>
      </c>
      <c r="S71" s="50">
        <v>3.5819437703742723</v>
      </c>
      <c r="T71" s="50">
        <v>2.4885888918329697</v>
      </c>
      <c r="U71" s="50">
        <v>3.065820786940787</v>
      </c>
      <c r="V71" s="50">
        <v>4.833908720950753</v>
      </c>
      <c r="W71" s="50">
        <v>3.4925655425246953</v>
      </c>
      <c r="X71" s="50">
        <v>3.6605372879612377</v>
      </c>
      <c r="Y71" s="50">
        <v>5.958774716405727</v>
      </c>
    </row>
    <row r="72" ht="14.25" hidden="1" customHeight="1">
      <c r="A72" s="49" t="s">
        <v>318</v>
      </c>
      <c r="B72" s="23">
        <v>2021.0</v>
      </c>
      <c r="C72" s="50">
        <v>5.395317271801833</v>
      </c>
      <c r="D72" s="50">
        <v>2.3973402225768994</v>
      </c>
      <c r="E72" s="50">
        <v>3.6269514219492565</v>
      </c>
      <c r="F72" s="50">
        <v>5.083352380977518</v>
      </c>
      <c r="G72" s="50">
        <v>4.125740324326376</v>
      </c>
      <c r="H72" s="50">
        <v>1.865016898259651</v>
      </c>
      <c r="I72" s="50">
        <v>2.0813159430346806</v>
      </c>
      <c r="J72" s="50">
        <v>4.509543225196478</v>
      </c>
      <c r="K72" s="50">
        <v>2.818625355496937</v>
      </c>
      <c r="L72" s="50">
        <v>3.4721828399116568</v>
      </c>
      <c r="M72" s="50">
        <v>2.7599203343000607</v>
      </c>
      <c r="N72" s="50">
        <v>0.8514522256796354</v>
      </c>
      <c r="O72" s="50">
        <v>3.521059021305928</v>
      </c>
      <c r="P72" s="50">
        <v>0.0</v>
      </c>
      <c r="Q72" s="50">
        <v>4.154151317653726</v>
      </c>
      <c r="R72" s="50">
        <v>2.25731657978787</v>
      </c>
      <c r="S72" s="50">
        <v>0.4727768265808466</v>
      </c>
      <c r="T72" s="50">
        <v>0.682694280870712</v>
      </c>
      <c r="U72" s="50">
        <v>2.102615586977696</v>
      </c>
      <c r="V72" s="50">
        <v>1.7530157453930837</v>
      </c>
      <c r="W72" s="50">
        <v>1.2527756099555845</v>
      </c>
      <c r="X72" s="50">
        <v>1.7550460948717272</v>
      </c>
      <c r="Y72" s="50">
        <v>5.1910869284731165</v>
      </c>
    </row>
    <row r="73" ht="14.25" hidden="1" customHeight="1">
      <c r="A73" s="51" t="s">
        <v>324</v>
      </c>
      <c r="B73" s="23">
        <v>2021.0</v>
      </c>
      <c r="C73" s="50">
        <v>4.909301400577482</v>
      </c>
      <c r="D73" s="50">
        <v>2.0479511400125494</v>
      </c>
      <c r="E73" s="50">
        <v>5.158312862928622</v>
      </c>
      <c r="F73" s="50">
        <v>6.76160101822873</v>
      </c>
      <c r="G73" s="50">
        <v>4.719291605436846</v>
      </c>
      <c r="H73" s="50">
        <v>2.3798376756138975</v>
      </c>
      <c r="I73" s="50">
        <v>1.840478665908035</v>
      </c>
      <c r="J73" s="50">
        <v>3.9774271701235007</v>
      </c>
      <c r="K73" s="50">
        <v>2.7325811705484777</v>
      </c>
      <c r="L73" s="50">
        <v>3.725936387992662</v>
      </c>
      <c r="M73" s="50">
        <v>0.9843761764451507</v>
      </c>
      <c r="N73" s="50">
        <v>2.151109473871449</v>
      </c>
      <c r="O73" s="50">
        <v>1.763164930755218</v>
      </c>
      <c r="P73" s="50">
        <v>5.47085201793722</v>
      </c>
      <c r="Q73" s="50">
        <v>2.7713233210541226</v>
      </c>
      <c r="R73" s="50">
        <v>2.628165184012632</v>
      </c>
      <c r="S73" s="50">
        <v>1.5925649222392413</v>
      </c>
      <c r="T73" s="50">
        <v>0.34495185779017434</v>
      </c>
      <c r="U73" s="50">
        <v>0.4249639543026379</v>
      </c>
      <c r="V73" s="50">
        <v>1.4191146022719798</v>
      </c>
      <c r="W73" s="50">
        <v>0.9453988341510083</v>
      </c>
      <c r="X73" s="50">
        <v>1.78678200908182</v>
      </c>
      <c r="Y73" s="50">
        <v>4.510113176703897</v>
      </c>
    </row>
    <row r="74" ht="14.25" hidden="1" customHeight="1">
      <c r="A74" s="49" t="s">
        <v>327</v>
      </c>
      <c r="B74" s="23">
        <v>2021.0</v>
      </c>
      <c r="C74" s="50">
        <v>4.625042416016288</v>
      </c>
      <c r="D74" s="50">
        <v>0.9114403822780287</v>
      </c>
      <c r="E74" s="50">
        <v>3.919281418423268</v>
      </c>
      <c r="F74" s="50">
        <v>5.244225372604378</v>
      </c>
      <c r="G74" s="50">
        <v>3.6749973973304906</v>
      </c>
      <c r="H74" s="50">
        <v>2.1023014492440484</v>
      </c>
      <c r="I74" s="50">
        <v>1.0185328967561211</v>
      </c>
      <c r="J74" s="50">
        <v>6.893872244873841</v>
      </c>
      <c r="K74" s="50">
        <v>3.3382355302913362</v>
      </c>
      <c r="L74" s="50">
        <v>3.5066164638109134</v>
      </c>
      <c r="M74" s="50">
        <v>0.6355639747640578</v>
      </c>
      <c r="N74" s="50">
        <v>0.0</v>
      </c>
      <c r="O74" s="50">
        <v>1.8543911422706716</v>
      </c>
      <c r="P74" s="50">
        <v>4.125560538116592</v>
      </c>
      <c r="Q74" s="50">
        <v>1.9141399829980166</v>
      </c>
      <c r="R74" s="50">
        <v>1.7059311276298676</v>
      </c>
      <c r="S74" s="50">
        <v>0.0</v>
      </c>
      <c r="T74" s="50">
        <v>0.0</v>
      </c>
      <c r="U74" s="50">
        <v>0.0</v>
      </c>
      <c r="V74" s="50">
        <v>0.3710826676156967</v>
      </c>
      <c r="W74" s="50">
        <v>0.09277066690392417</v>
      </c>
      <c r="X74" s="50">
        <v>0.899350897266896</v>
      </c>
      <c r="Y74" s="50">
        <v>4.424488390374556</v>
      </c>
    </row>
    <row r="75" ht="14.25" hidden="1" customHeight="1">
      <c r="A75" s="51" t="s">
        <v>313</v>
      </c>
      <c r="B75" s="23">
        <v>2021.0</v>
      </c>
      <c r="C75" s="50">
        <v>7.563624024431626</v>
      </c>
      <c r="D75" s="50">
        <v>2.0896311411879727</v>
      </c>
      <c r="E75" s="50">
        <v>5.9627140676197135</v>
      </c>
      <c r="F75" s="50">
        <v>7.611384428329591</v>
      </c>
      <c r="G75" s="50">
        <v>5.806838415392226</v>
      </c>
      <c r="H75" s="50">
        <v>4.3742100348973505</v>
      </c>
      <c r="I75" s="50">
        <v>3.6435736893888198</v>
      </c>
      <c r="J75" s="50">
        <v>5.287183123559654</v>
      </c>
      <c r="K75" s="50">
        <v>4.434988949281942</v>
      </c>
      <c r="L75" s="50">
        <v>5.1209136823370836</v>
      </c>
      <c r="M75" s="50">
        <v>1.4372025806317494</v>
      </c>
      <c r="N75" s="50">
        <v>0.0</v>
      </c>
      <c r="O75" s="50">
        <v>3.0551475964821884</v>
      </c>
      <c r="P75" s="50">
        <v>7.757847533632287</v>
      </c>
      <c r="Q75" s="50">
        <v>2.6877302351941057</v>
      </c>
      <c r="R75" s="50">
        <v>2.987585589188066</v>
      </c>
      <c r="S75" s="50">
        <v>2.690549698052685</v>
      </c>
      <c r="T75" s="50">
        <v>1.2950598732055845</v>
      </c>
      <c r="U75" s="50">
        <v>8.386001769753209</v>
      </c>
      <c r="V75" s="50">
        <v>2.3397970923192806</v>
      </c>
      <c r="W75" s="50">
        <v>3.67785210833269</v>
      </c>
      <c r="X75" s="50">
        <v>3.3327188487603774</v>
      </c>
      <c r="Y75" s="50">
        <v>5.304678637853797</v>
      </c>
    </row>
    <row r="76" ht="14.25" hidden="1" customHeight="1">
      <c r="A76" s="49" t="s">
        <v>334</v>
      </c>
      <c r="B76" s="23">
        <v>2021.0</v>
      </c>
      <c r="C76" s="50">
        <v>1.3810654903291484</v>
      </c>
      <c r="D76" s="50">
        <v>0.0072988702898602485</v>
      </c>
      <c r="E76" s="50">
        <v>2.0912455001921817</v>
      </c>
      <c r="F76" s="50">
        <v>1.254618491530107</v>
      </c>
      <c r="G76" s="50">
        <v>1.1835570880853243</v>
      </c>
      <c r="H76" s="50">
        <v>1.828915810956977</v>
      </c>
      <c r="I76" s="50">
        <v>0.8179362628003944</v>
      </c>
      <c r="J76" s="50">
        <v>6.893872244873841</v>
      </c>
      <c r="K76" s="50">
        <v>3.180241439543738</v>
      </c>
      <c r="L76" s="50">
        <v>2.181899263814531</v>
      </c>
      <c r="M76" s="50">
        <v>0.0</v>
      </c>
      <c r="N76" s="50">
        <v>0.0</v>
      </c>
      <c r="O76" s="50">
        <v>0.0</v>
      </c>
      <c r="P76" s="50">
        <v>0.0</v>
      </c>
      <c r="Q76" s="50">
        <v>0.0</v>
      </c>
      <c r="R76" s="50">
        <v>0.0</v>
      </c>
      <c r="S76" s="50">
        <v>0.0</v>
      </c>
      <c r="T76" s="50">
        <v>0.0</v>
      </c>
      <c r="U76" s="50">
        <v>0.0</v>
      </c>
      <c r="V76" s="50">
        <v>0.34998306697452997</v>
      </c>
      <c r="W76" s="50">
        <v>0.08749576674363249</v>
      </c>
      <c r="X76" s="50">
        <v>0.043747883371816246</v>
      </c>
      <c r="Y76" s="50">
        <v>2.764338912067679</v>
      </c>
    </row>
    <row r="77" ht="14.25" hidden="1" customHeight="1">
      <c r="A77" s="51" t="s">
        <v>335</v>
      </c>
      <c r="B77" s="23">
        <v>2021.0</v>
      </c>
      <c r="C77" s="50">
        <v>0.8313539192399051</v>
      </c>
      <c r="D77" s="50">
        <v>0.04175036988049606</v>
      </c>
      <c r="E77" s="50">
        <v>0.9663715362304524</v>
      </c>
      <c r="F77" s="50">
        <v>0.24314891641270042</v>
      </c>
      <c r="G77" s="50">
        <v>0.5206561854408885</v>
      </c>
      <c r="H77" s="50">
        <v>1.0927677924773775</v>
      </c>
      <c r="I77" s="50">
        <v>0.3090383129258963</v>
      </c>
      <c r="J77" s="50">
        <v>2.3636471074868526</v>
      </c>
      <c r="K77" s="50">
        <v>1.2551510709633753</v>
      </c>
      <c r="L77" s="50">
        <v>0.8879036282021319</v>
      </c>
      <c r="M77" s="50">
        <v>4.323406786213459</v>
      </c>
      <c r="N77" s="50">
        <v>0.0</v>
      </c>
      <c r="O77" s="50">
        <v>3.3112919963531606</v>
      </c>
      <c r="P77" s="50">
        <v>1.4798206278026906</v>
      </c>
      <c r="Q77" s="50">
        <v>6.073958628506659</v>
      </c>
      <c r="R77" s="50">
        <v>3.037695607775194</v>
      </c>
      <c r="S77" s="50">
        <v>0.0</v>
      </c>
      <c r="T77" s="50">
        <v>0.0</v>
      </c>
      <c r="U77" s="50">
        <v>0.0</v>
      </c>
      <c r="V77" s="50">
        <v>1.2153939931649038</v>
      </c>
      <c r="W77" s="50">
        <v>0.30384849829122595</v>
      </c>
      <c r="X77" s="50">
        <v>1.6707720530332097</v>
      </c>
      <c r="Y77" s="50">
        <v>3.2167146980303754</v>
      </c>
    </row>
    <row r="78" ht="14.25" customHeight="1">
      <c r="A78" s="49" t="s">
        <v>315</v>
      </c>
      <c r="B78" s="23">
        <v>2021.0</v>
      </c>
      <c r="C78" s="50">
        <v>7.158057208199292</v>
      </c>
      <c r="D78" s="50">
        <v>1.731374629517882</v>
      </c>
      <c r="E78" s="50">
        <v>7.059517779714187</v>
      </c>
      <c r="F78" s="50">
        <v>7.317938871766189</v>
      </c>
      <c r="G78" s="50">
        <v>5.816722122299388</v>
      </c>
      <c r="H78" s="50">
        <v>4.3589916062074066</v>
      </c>
      <c r="I78" s="50">
        <v>5.775084284554848</v>
      </c>
      <c r="J78" s="50">
        <v>8.075695798617266</v>
      </c>
      <c r="K78" s="50">
        <v>6.06992389645984</v>
      </c>
      <c r="L78" s="50">
        <v>5.943323009379614</v>
      </c>
      <c r="M78" s="50">
        <v>7.84276060184547</v>
      </c>
      <c r="N78" s="50">
        <v>9.29699725601443</v>
      </c>
      <c r="O78" s="50">
        <v>7.664203605189945</v>
      </c>
      <c r="P78" s="50">
        <v>2.780269058295964</v>
      </c>
      <c r="Q78" s="50">
        <v>4.628790025502976</v>
      </c>
      <c r="R78" s="50">
        <v>6.442604109369757</v>
      </c>
      <c r="S78" s="50">
        <v>8.134446416226096</v>
      </c>
      <c r="T78" s="50">
        <v>8.809664096539386</v>
      </c>
      <c r="U78" s="50">
        <v>3.617692929217009</v>
      </c>
      <c r="V78" s="50">
        <v>3.0899067474036848</v>
      </c>
      <c r="W78" s="50">
        <v>5.912927547346545</v>
      </c>
      <c r="X78" s="50">
        <v>6.177765828358151</v>
      </c>
      <c r="Y78" s="50">
        <v>5.7245014870767434</v>
      </c>
    </row>
    <row r="79" ht="14.25" customHeight="1">
      <c r="A79" s="51" t="s">
        <v>307</v>
      </c>
      <c r="B79" s="23">
        <v>2021.0</v>
      </c>
      <c r="C79" s="50">
        <v>8.77004216179063</v>
      </c>
      <c r="D79" s="50">
        <v>2.1176949121275963</v>
      </c>
      <c r="E79" s="50">
        <v>7.074534601798414</v>
      </c>
      <c r="F79" s="50">
        <v>7.415283653728405</v>
      </c>
      <c r="G79" s="50">
        <v>6.344388832361262</v>
      </c>
      <c r="H79" s="50">
        <v>3.654546084676965</v>
      </c>
      <c r="I79" s="50">
        <v>3.362562493100131</v>
      </c>
      <c r="J79" s="50">
        <v>7.405601843644744</v>
      </c>
      <c r="K79" s="50">
        <v>4.807570140473947</v>
      </c>
      <c r="L79" s="50">
        <v>5.575979486417603</v>
      </c>
      <c r="M79" s="50">
        <v>4.489728448278135</v>
      </c>
      <c r="N79" s="50">
        <v>4.73808476930116</v>
      </c>
      <c r="O79" s="50">
        <v>5.677212711187466</v>
      </c>
      <c r="P79" s="50">
        <v>4.573991031390134</v>
      </c>
      <c r="Q79" s="50">
        <v>3.061773873618589</v>
      </c>
      <c r="R79" s="50">
        <v>4.508158166755097</v>
      </c>
      <c r="S79" s="50">
        <v>5.859656012790252</v>
      </c>
      <c r="T79" s="50">
        <v>2.9355876137442785</v>
      </c>
      <c r="U79" s="50">
        <v>8.296679974364029</v>
      </c>
      <c r="V79" s="50">
        <v>7.979015556216481</v>
      </c>
      <c r="W79" s="50">
        <v>6.2677347892787605</v>
      </c>
      <c r="X79" s="50">
        <v>5.387946478016929</v>
      </c>
      <c r="Y79" s="50">
        <v>6.298497951283029</v>
      </c>
    </row>
    <row r="80" ht="14.25" hidden="1" customHeight="1">
      <c r="A80" s="49" t="s">
        <v>336</v>
      </c>
      <c r="B80" s="23">
        <v>2021.0</v>
      </c>
      <c r="C80" s="50">
        <v>0.01017984390906006</v>
      </c>
      <c r="D80" s="50">
        <v>0.22339074741174053</v>
      </c>
      <c r="E80" s="50">
        <v>3.6158545053179996</v>
      </c>
      <c r="F80" s="50">
        <v>0.0</v>
      </c>
      <c r="G80" s="50">
        <v>0.9623562741597002</v>
      </c>
      <c r="H80" s="50">
        <v>0.010633343783073951</v>
      </c>
      <c r="I80" s="50">
        <v>0.0</v>
      </c>
      <c r="J80" s="50">
        <v>0.5909117768717131</v>
      </c>
      <c r="K80" s="50">
        <v>0.20051504021826236</v>
      </c>
      <c r="L80" s="50">
        <v>0.5814356571889813</v>
      </c>
      <c r="M80" s="50">
        <v>0.0</v>
      </c>
      <c r="N80" s="50">
        <v>0.0</v>
      </c>
      <c r="O80" s="50">
        <v>0.0</v>
      </c>
      <c r="P80" s="50">
        <v>0.0</v>
      </c>
      <c r="Q80" s="50">
        <v>0.0</v>
      </c>
      <c r="R80" s="50">
        <v>0.0</v>
      </c>
      <c r="S80" s="50">
        <v>0.0</v>
      </c>
      <c r="T80" s="50">
        <v>0.0</v>
      </c>
      <c r="U80" s="50">
        <v>0.0</v>
      </c>
      <c r="V80" s="50">
        <v>0.0</v>
      </c>
      <c r="W80" s="50">
        <v>0.0</v>
      </c>
      <c r="X80" s="50">
        <v>0.0</v>
      </c>
      <c r="Y80" s="50">
        <v>2.3112211424939515</v>
      </c>
    </row>
    <row r="81" ht="14.25" hidden="1" customHeight="1">
      <c r="A81" s="51" t="s">
        <v>331</v>
      </c>
      <c r="B81" s="23">
        <v>2021.0</v>
      </c>
      <c r="C81" s="50">
        <v>1.9070240922972514</v>
      </c>
      <c r="D81" s="50">
        <v>0.38102480485644735</v>
      </c>
      <c r="E81" s="50">
        <v>3.837415134723123</v>
      </c>
      <c r="F81" s="50">
        <v>3.704472316643128</v>
      </c>
      <c r="G81" s="50">
        <v>2.4574840871299877</v>
      </c>
      <c r="H81" s="50">
        <v>1.333104861077132</v>
      </c>
      <c r="I81" s="50">
        <v>2.8423062971693245</v>
      </c>
      <c r="J81" s="50">
        <v>0.9847544761567097</v>
      </c>
      <c r="K81" s="50">
        <v>1.7200552114677223</v>
      </c>
      <c r="L81" s="50">
        <v>2.088769649298855</v>
      </c>
      <c r="M81" s="50">
        <v>0.0</v>
      </c>
      <c r="N81" s="50">
        <v>0.0</v>
      </c>
      <c r="O81" s="50">
        <v>0.0</v>
      </c>
      <c r="P81" s="50">
        <v>0.0</v>
      </c>
      <c r="Q81" s="50">
        <v>0.0</v>
      </c>
      <c r="R81" s="50">
        <v>0.0</v>
      </c>
      <c r="S81" s="50">
        <v>0.0</v>
      </c>
      <c r="T81" s="50">
        <v>0.0</v>
      </c>
      <c r="U81" s="50">
        <v>0.0</v>
      </c>
      <c r="V81" s="50">
        <v>0.3959148174568332</v>
      </c>
      <c r="W81" s="50">
        <v>0.0989787043642083</v>
      </c>
      <c r="X81" s="50">
        <v>0.04948935218210415</v>
      </c>
      <c r="Y81" s="50">
        <v>3.759512186814324</v>
      </c>
    </row>
    <row r="82" ht="14.25" hidden="1" customHeight="1">
      <c r="A82" s="49" t="s">
        <v>328</v>
      </c>
      <c r="B82" s="23">
        <v>2021.0</v>
      </c>
      <c r="C82" s="50">
        <v>4.187309127926706</v>
      </c>
      <c r="D82" s="50">
        <v>1.8949704406512715</v>
      </c>
      <c r="E82" s="50">
        <v>3.223223043571799</v>
      </c>
      <c r="F82" s="50">
        <v>3.9381236929938246</v>
      </c>
      <c r="G82" s="50">
        <v>3.3109065762859</v>
      </c>
      <c r="H82" s="50">
        <v>2.931184180088919</v>
      </c>
      <c r="I82" s="50">
        <v>2.164833171780354</v>
      </c>
      <c r="J82" s="50">
        <v>2.954558884358565</v>
      </c>
      <c r="K82" s="50">
        <v>2.683525412075946</v>
      </c>
      <c r="L82" s="50">
        <v>2.997215994180923</v>
      </c>
      <c r="M82" s="50">
        <v>2.38741872149628</v>
      </c>
      <c r="N82" s="50">
        <v>0.8537089483245163</v>
      </c>
      <c r="O82" s="50">
        <v>3.482897320979683</v>
      </c>
      <c r="P82" s="50">
        <v>4.663677130044843</v>
      </c>
      <c r="Q82" s="50">
        <v>3.20204023802777</v>
      </c>
      <c r="R82" s="50">
        <v>2.9179484717746185</v>
      </c>
      <c r="S82" s="50">
        <v>0.6320398573004598</v>
      </c>
      <c r="T82" s="50">
        <v>0.0</v>
      </c>
      <c r="U82" s="50">
        <v>0.0</v>
      </c>
      <c r="V82" s="50">
        <v>0.6007496314490104</v>
      </c>
      <c r="W82" s="50">
        <v>0.30819737218736754</v>
      </c>
      <c r="X82" s="50">
        <v>1.6130729219809932</v>
      </c>
      <c r="Y82" s="50">
        <v>4.4829149547422835</v>
      </c>
    </row>
    <row r="83" ht="14.25" hidden="1" customHeight="1">
      <c r="A83" s="51" t="s">
        <v>312</v>
      </c>
      <c r="B83" s="23">
        <v>2021.0</v>
      </c>
      <c r="C83" s="50">
        <v>7.9979640312181886</v>
      </c>
      <c r="D83" s="50">
        <v>1.477413638456964</v>
      </c>
      <c r="E83" s="50">
        <v>5.460028673378133</v>
      </c>
      <c r="F83" s="50">
        <v>6.855535873299441</v>
      </c>
      <c r="G83" s="50">
        <v>5.447735554088182</v>
      </c>
      <c r="H83" s="50">
        <v>2.9345087510696333</v>
      </c>
      <c r="I83" s="50">
        <v>3.2374883384629936</v>
      </c>
      <c r="J83" s="50">
        <v>3.46835667434852</v>
      </c>
      <c r="K83" s="50">
        <v>3.213451254627049</v>
      </c>
      <c r="L83" s="50">
        <v>4.330593404357615</v>
      </c>
      <c r="M83" s="50">
        <v>1.796810404215354</v>
      </c>
      <c r="N83" s="50">
        <v>0.0</v>
      </c>
      <c r="O83" s="50">
        <v>2.4465331591600226</v>
      </c>
      <c r="P83" s="50">
        <v>5.426008968609866</v>
      </c>
      <c r="Q83" s="50">
        <v>4.1966562765656</v>
      </c>
      <c r="R83" s="50">
        <v>2.7732017617101685</v>
      </c>
      <c r="S83" s="50">
        <v>5.668562197841135</v>
      </c>
      <c r="T83" s="50">
        <v>0.9444759562382649</v>
      </c>
      <c r="U83" s="50">
        <v>0.7756990394312178</v>
      </c>
      <c r="V83" s="50">
        <v>1.3599343118561456</v>
      </c>
      <c r="W83" s="50">
        <v>2.187167876341691</v>
      </c>
      <c r="X83" s="50">
        <v>2.4801848190259297</v>
      </c>
      <c r="Y83" s="50">
        <v>5.13036664824098</v>
      </c>
    </row>
    <row r="84" ht="14.25" hidden="1" customHeight="1">
      <c r="A84" s="49" t="s">
        <v>314</v>
      </c>
      <c r="B84" s="23">
        <v>2021.0</v>
      </c>
      <c r="C84" s="50">
        <v>6.990159484221245</v>
      </c>
      <c r="D84" s="50">
        <v>1.7455141260895402</v>
      </c>
      <c r="E84" s="50">
        <v>5.7563656570313</v>
      </c>
      <c r="F84" s="50">
        <v>6.226105408723734</v>
      </c>
      <c r="G84" s="50">
        <v>5.179536169016455</v>
      </c>
      <c r="H84" s="50">
        <v>3.582123113137414</v>
      </c>
      <c r="I84" s="50">
        <v>2.7801346854448243</v>
      </c>
      <c r="J84" s="50">
        <v>4.308633221060096</v>
      </c>
      <c r="K84" s="50">
        <v>3.556963673214111</v>
      </c>
      <c r="L84" s="50">
        <v>4.368249921115282</v>
      </c>
      <c r="M84" s="50">
        <v>1.0957093650037468</v>
      </c>
      <c r="N84" s="50">
        <v>3.2324406566240755</v>
      </c>
      <c r="O84" s="50">
        <v>4.6555756033531335</v>
      </c>
      <c r="P84" s="50">
        <v>2.6008968609865466</v>
      </c>
      <c r="Q84" s="50">
        <v>2.6055539812978186</v>
      </c>
      <c r="R84" s="50">
        <v>2.8380352934530646</v>
      </c>
      <c r="S84" s="50">
        <v>0.7977079836379543</v>
      </c>
      <c r="T84" s="50">
        <v>0.8639234956370243</v>
      </c>
      <c r="U84" s="50">
        <v>0.3547706118305043</v>
      </c>
      <c r="V84" s="50">
        <v>0.9418465254136348</v>
      </c>
      <c r="W84" s="50">
        <v>0.7395621541297794</v>
      </c>
      <c r="X84" s="50">
        <v>1.7887987237914222</v>
      </c>
      <c r="Y84" s="50">
        <v>5.053233102347089</v>
      </c>
    </row>
    <row r="85" ht="14.25" customHeight="1">
      <c r="A85" s="51" t="s">
        <v>309</v>
      </c>
      <c r="B85" s="23">
        <v>2021.0</v>
      </c>
      <c r="C85" s="50">
        <v>8.804319302225263</v>
      </c>
      <c r="D85" s="50">
        <v>1.6125985564780656</v>
      </c>
      <c r="E85" s="50">
        <v>7.316308140264348</v>
      </c>
      <c r="F85" s="50">
        <v>8.93535706587533</v>
      </c>
      <c r="G85" s="50">
        <v>6.667145766210751</v>
      </c>
      <c r="H85" s="50">
        <v>5.360058094827631</v>
      </c>
      <c r="I85" s="50">
        <v>5.296366817058539</v>
      </c>
      <c r="J85" s="50">
        <v>5.318205991845418</v>
      </c>
      <c r="K85" s="50">
        <v>5.324876967910529</v>
      </c>
      <c r="L85" s="50">
        <v>5.996011367060641</v>
      </c>
      <c r="M85" s="50">
        <v>3.932869058823225</v>
      </c>
      <c r="N85" s="50">
        <v>1.1899810857070765</v>
      </c>
      <c r="O85" s="50">
        <v>3.4976591263878563</v>
      </c>
      <c r="P85" s="50">
        <v>4.170403587443946</v>
      </c>
      <c r="Q85" s="50">
        <v>4.283083026353075</v>
      </c>
      <c r="R85" s="50">
        <v>3.4147991769430357</v>
      </c>
      <c r="S85" s="50">
        <v>5.285985185536433</v>
      </c>
      <c r="T85" s="50">
        <v>3.8165067025719894</v>
      </c>
      <c r="U85" s="50">
        <v>3.134500739393153</v>
      </c>
      <c r="V85" s="50">
        <v>3.3920522162054563</v>
      </c>
      <c r="W85" s="50">
        <v>3.907261210926758</v>
      </c>
      <c r="X85" s="50">
        <v>3.661030193934897</v>
      </c>
      <c r="Y85" s="50">
        <v>5.75723827364743</v>
      </c>
    </row>
    <row r="86" ht="14.25" hidden="1" customHeight="1">
      <c r="A86" s="49" t="s">
        <v>316</v>
      </c>
      <c r="B86" s="23">
        <v>2021.0</v>
      </c>
      <c r="C86" s="50">
        <v>6.55581947743468</v>
      </c>
      <c r="D86" s="50">
        <v>1.5940482550635038</v>
      </c>
      <c r="E86" s="50">
        <v>6.02442272823159</v>
      </c>
      <c r="F86" s="50">
        <v>6.5637440853932025</v>
      </c>
      <c r="G86" s="50">
        <v>5.184508636530744</v>
      </c>
      <c r="H86" s="50">
        <v>7.0196825878473135</v>
      </c>
      <c r="I86" s="50">
        <v>3.3473585178049987</v>
      </c>
      <c r="J86" s="50">
        <v>5.065000295455889</v>
      </c>
      <c r="K86" s="50">
        <v>5.1440138003694</v>
      </c>
      <c r="L86" s="50">
        <v>5.164261218450072</v>
      </c>
      <c r="M86" s="50">
        <v>4.026803774775391</v>
      </c>
      <c r="N86" s="50">
        <v>2.639873644836215</v>
      </c>
      <c r="O86" s="50">
        <v>5.50736448362974</v>
      </c>
      <c r="P86" s="50">
        <v>4.798206278026907</v>
      </c>
      <c r="Q86" s="50">
        <v>3.074525361292151</v>
      </c>
      <c r="R86" s="50">
        <v>4.00935470851208</v>
      </c>
      <c r="S86" s="50">
        <v>4.886048591408477</v>
      </c>
      <c r="T86" s="50">
        <v>1.0583251679872319</v>
      </c>
      <c r="U86" s="50">
        <v>1.3038052649057756</v>
      </c>
      <c r="V86" s="50">
        <v>0.9868832155647322</v>
      </c>
      <c r="W86" s="50">
        <v>2.058765559966554</v>
      </c>
      <c r="X86" s="50">
        <v>3.0340601342393168</v>
      </c>
      <c r="Y86" s="50">
        <v>5.399138635971854</v>
      </c>
    </row>
    <row r="87" ht="14.25" hidden="1" customHeight="1">
      <c r="A87" s="51" t="s">
        <v>333</v>
      </c>
      <c r="B87" s="23">
        <v>2021.0</v>
      </c>
      <c r="C87" s="50">
        <v>2.185273159144893</v>
      </c>
      <c r="D87" s="50">
        <v>0.006791368067997991</v>
      </c>
      <c r="E87" s="50">
        <v>2.2619333209932346</v>
      </c>
      <c r="F87" s="50">
        <v>2.040039651729391</v>
      </c>
      <c r="G87" s="50">
        <v>1.6235093749838791</v>
      </c>
      <c r="H87" s="50">
        <v>0.7892946291027472</v>
      </c>
      <c r="I87" s="50">
        <v>0.9883797105633809</v>
      </c>
      <c r="J87" s="50">
        <v>2.954558884358565</v>
      </c>
      <c r="K87" s="50">
        <v>1.577411074674898</v>
      </c>
      <c r="L87" s="50">
        <v>1.6004602248293887</v>
      </c>
      <c r="M87" s="50">
        <v>0.0</v>
      </c>
      <c r="N87" s="50">
        <v>0.0</v>
      </c>
      <c r="O87" s="50">
        <v>0.3764855478437503</v>
      </c>
      <c r="P87" s="50">
        <v>0.0</v>
      </c>
      <c r="Q87" s="50">
        <v>0.0</v>
      </c>
      <c r="R87" s="50">
        <v>0.07529710956875006</v>
      </c>
      <c r="S87" s="50">
        <v>0.0</v>
      </c>
      <c r="T87" s="50">
        <v>0.0</v>
      </c>
      <c r="U87" s="50">
        <v>0.0</v>
      </c>
      <c r="V87" s="50">
        <v>0.0</v>
      </c>
      <c r="W87" s="50">
        <v>0.0</v>
      </c>
      <c r="X87" s="50">
        <v>0.03764855478437503</v>
      </c>
      <c r="Y87" s="50">
        <v>2.882471634320437</v>
      </c>
    </row>
    <row r="88" ht="14.25" hidden="1" customHeight="1">
      <c r="A88" s="49" t="s">
        <v>325</v>
      </c>
      <c r="B88" s="23">
        <v>2021.0</v>
      </c>
      <c r="C88" s="50">
        <v>4.587716321683067</v>
      </c>
      <c r="D88" s="50">
        <v>0.37974306937704644</v>
      </c>
      <c r="E88" s="50">
        <v>2.6916712397362237</v>
      </c>
      <c r="F88" s="50">
        <v>3.8928224012732704</v>
      </c>
      <c r="G88" s="50">
        <v>2.887988258017402</v>
      </c>
      <c r="H88" s="50">
        <v>2.0926080695522957</v>
      </c>
      <c r="I88" s="50">
        <v>0.7486919061350905</v>
      </c>
      <c r="J88" s="50">
        <v>3.7602670921231462</v>
      </c>
      <c r="K88" s="50">
        <v>2.200522355936844</v>
      </c>
      <c r="L88" s="50">
        <v>2.544255306977123</v>
      </c>
      <c r="M88" s="50">
        <v>0.8160907229513249</v>
      </c>
      <c r="N88" s="50">
        <v>0.0</v>
      </c>
      <c r="O88" s="50">
        <v>2.1430041997625966</v>
      </c>
      <c r="P88" s="50">
        <v>0.0</v>
      </c>
      <c r="Q88" s="50">
        <v>5.667327854916407</v>
      </c>
      <c r="R88" s="50">
        <v>1.7252845555260659</v>
      </c>
      <c r="S88" s="50">
        <v>0.0</v>
      </c>
      <c r="T88" s="50">
        <v>0.0</v>
      </c>
      <c r="U88" s="50">
        <v>0.0</v>
      </c>
      <c r="V88" s="50">
        <v>0.6353142185812177</v>
      </c>
      <c r="W88" s="50">
        <v>0.15882855464530443</v>
      </c>
      <c r="X88" s="50">
        <v>0.9420565550856852</v>
      </c>
      <c r="Y88" s="50">
        <v>3.671023931618062</v>
      </c>
    </row>
    <row r="89" ht="14.25" hidden="1" customHeight="1">
      <c r="A89" s="51" t="s">
        <v>326</v>
      </c>
      <c r="B89" s="23">
        <v>2021.0</v>
      </c>
      <c r="C89" s="50">
        <v>4.027824906684764</v>
      </c>
      <c r="D89" s="50">
        <v>1.3505532624441292</v>
      </c>
      <c r="E89" s="50">
        <v>1.873208945287691</v>
      </c>
      <c r="F89" s="50">
        <v>4.423953015935796</v>
      </c>
      <c r="G89" s="50">
        <v>2.918885032588095</v>
      </c>
      <c r="H89" s="50">
        <v>1.5862986197313367</v>
      </c>
      <c r="I89" s="50">
        <v>1.0650334651233604</v>
      </c>
      <c r="J89" s="50">
        <v>3.840926549666135</v>
      </c>
      <c r="K89" s="50">
        <v>2.164086211506944</v>
      </c>
      <c r="L89" s="50">
        <v>2.5414856220475195</v>
      </c>
      <c r="M89" s="50">
        <v>3.2065716288398933</v>
      </c>
      <c r="N89" s="50">
        <v>0.0</v>
      </c>
      <c r="O89" s="50">
        <v>4.405043680166482</v>
      </c>
      <c r="P89" s="50">
        <v>2.5112107623318387</v>
      </c>
      <c r="Q89" s="50">
        <v>2.699064890903939</v>
      </c>
      <c r="R89" s="50">
        <v>2.564378192448431</v>
      </c>
      <c r="S89" s="50">
        <v>0.7781588409391742</v>
      </c>
      <c r="T89" s="50">
        <v>3.3710065327872716</v>
      </c>
      <c r="U89" s="50">
        <v>1.3843055040883347</v>
      </c>
      <c r="V89" s="50">
        <v>0.39293095678403994</v>
      </c>
      <c r="W89" s="50">
        <v>1.4816004586497054</v>
      </c>
      <c r="X89" s="50">
        <v>2.0229893255490685</v>
      </c>
      <c r="Y89" s="50">
        <v>3.7068149339133525</v>
      </c>
    </row>
    <row r="90" ht="14.25" hidden="1" customHeight="1">
      <c r="A90" s="49" t="s">
        <v>330</v>
      </c>
      <c r="B90" s="23">
        <v>2021.0</v>
      </c>
      <c r="C90" s="50">
        <v>1.7780794027824909</v>
      </c>
      <c r="D90" s="50">
        <v>0.02255496964063087</v>
      </c>
      <c r="E90" s="50">
        <v>4.696153657390431</v>
      </c>
      <c r="F90" s="50">
        <v>7.364539938644173</v>
      </c>
      <c r="G90" s="50">
        <v>3.465331992114431</v>
      </c>
      <c r="H90" s="50">
        <v>3.1858075988920884</v>
      </c>
      <c r="I90" s="50">
        <v>1.3489592874361116</v>
      </c>
      <c r="J90" s="50">
        <v>1.9698044082018553</v>
      </c>
      <c r="K90" s="50">
        <v>2.168190431510019</v>
      </c>
      <c r="L90" s="50">
        <v>2.8167612118122247</v>
      </c>
      <c r="M90" s="50">
        <v>0.0</v>
      </c>
      <c r="N90" s="50">
        <v>0.0</v>
      </c>
      <c r="O90" s="50">
        <v>0.8616132028354049</v>
      </c>
      <c r="P90" s="50">
        <v>0.0</v>
      </c>
      <c r="Q90" s="50">
        <v>0.0</v>
      </c>
      <c r="R90" s="50">
        <v>0.17232264056708096</v>
      </c>
      <c r="S90" s="50">
        <v>0.0</v>
      </c>
      <c r="T90" s="50">
        <v>0.0</v>
      </c>
      <c r="U90" s="50">
        <v>0.0</v>
      </c>
      <c r="V90" s="50">
        <v>4.895809245654361</v>
      </c>
      <c r="W90" s="50">
        <v>1.2239523114135902</v>
      </c>
      <c r="X90" s="50">
        <v>0.6981374759903356</v>
      </c>
      <c r="Y90" s="50">
        <v>4.726915026815412</v>
      </c>
    </row>
    <row r="91" ht="14.25" hidden="1" customHeight="1">
      <c r="A91" s="51" t="s">
        <v>332</v>
      </c>
      <c r="B91" s="23">
        <v>2021.0</v>
      </c>
      <c r="C91" s="50">
        <v>1.296233457753648</v>
      </c>
      <c r="D91" s="50">
        <v>0.5240810068786566</v>
      </c>
      <c r="E91" s="50">
        <v>4.8264385364014135</v>
      </c>
      <c r="F91" s="50">
        <v>5.758407540630958</v>
      </c>
      <c r="G91" s="50">
        <v>3.1012901354161695</v>
      </c>
      <c r="H91" s="50">
        <v>2.6720166815238033</v>
      </c>
      <c r="I91" s="50">
        <v>0.2697348387887287</v>
      </c>
      <c r="J91" s="50">
        <v>4.924363292560422</v>
      </c>
      <c r="K91" s="50">
        <v>2.6220382709576513</v>
      </c>
      <c r="L91" s="50">
        <v>2.86166420318691</v>
      </c>
      <c r="M91" s="50">
        <v>0.9782462418622577</v>
      </c>
      <c r="N91" s="50">
        <v>0.0</v>
      </c>
      <c r="O91" s="50">
        <v>0.0</v>
      </c>
      <c r="P91" s="50">
        <v>0.0</v>
      </c>
      <c r="Q91" s="50">
        <v>0.0</v>
      </c>
      <c r="R91" s="50">
        <v>0.1956492483724515</v>
      </c>
      <c r="S91" s="50">
        <v>0.0</v>
      </c>
      <c r="T91" s="50">
        <v>0.0</v>
      </c>
      <c r="U91" s="50">
        <v>0.0</v>
      </c>
      <c r="V91" s="50">
        <v>0.0</v>
      </c>
      <c r="W91" s="50">
        <v>0.0</v>
      </c>
      <c r="X91" s="50">
        <v>0.09782462418622576</v>
      </c>
      <c r="Y91" s="50">
        <v>3.3590438491892716</v>
      </c>
    </row>
    <row r="92" ht="14.25" hidden="1" customHeight="1">
      <c r="A92" s="49" t="s">
        <v>319</v>
      </c>
      <c r="B92" s="23">
        <v>2021.0</v>
      </c>
      <c r="C92" s="50">
        <v>5.643026806922294</v>
      </c>
      <c r="D92" s="50">
        <v>1.8219923662160853</v>
      </c>
      <c r="E92" s="50">
        <v>3.8847664507645323</v>
      </c>
      <c r="F92" s="50">
        <v>4.778276124460811</v>
      </c>
      <c r="G92" s="50">
        <v>4.032015437090931</v>
      </c>
      <c r="H92" s="50">
        <v>2.7116982276827235</v>
      </c>
      <c r="I92" s="50">
        <v>1.6361333558173023</v>
      </c>
      <c r="J92" s="50">
        <v>4.866453938426993</v>
      </c>
      <c r="K92" s="50">
        <v>3.0714285073090064</v>
      </c>
      <c r="L92" s="50">
        <v>3.5517219721999687</v>
      </c>
      <c r="M92" s="50">
        <v>3.0126227803866468</v>
      </c>
      <c r="N92" s="50">
        <v>3.268967993583212</v>
      </c>
      <c r="O92" s="50">
        <v>3.4705181202007394</v>
      </c>
      <c r="P92" s="50">
        <v>3.811659192825112</v>
      </c>
      <c r="Q92" s="50">
        <v>4.601870218192122</v>
      </c>
      <c r="R92" s="50">
        <v>3.633127661037566</v>
      </c>
      <c r="S92" s="50">
        <v>0.6050417031000594</v>
      </c>
      <c r="T92" s="50">
        <v>2.621058100808065</v>
      </c>
      <c r="U92" s="50">
        <v>0.5381694043297912</v>
      </c>
      <c r="V92" s="50">
        <v>1.1636547616804598</v>
      </c>
      <c r="W92" s="50">
        <v>1.231980992479594</v>
      </c>
      <c r="X92" s="50">
        <v>2.43255432675858</v>
      </c>
      <c r="Y92" s="50">
        <v>4.777827656642034</v>
      </c>
    </row>
    <row r="93" ht="14.25" hidden="1" customHeight="1">
      <c r="A93" s="51" t="s">
        <v>323</v>
      </c>
      <c r="B93" s="23">
        <v>2021.0</v>
      </c>
      <c r="C93" s="50">
        <v>4.832032575500509</v>
      </c>
      <c r="D93" s="50">
        <v>1.4253726406916247</v>
      </c>
      <c r="E93" s="50">
        <v>3.2161412932658644</v>
      </c>
      <c r="F93" s="50">
        <v>3.3279075087636762</v>
      </c>
      <c r="G93" s="50">
        <v>3.2003635045554186</v>
      </c>
      <c r="H93" s="50">
        <v>1.6671785081311032</v>
      </c>
      <c r="I93" s="50">
        <v>2.0796296453558267</v>
      </c>
      <c r="J93" s="50">
        <v>4.545588843585653</v>
      </c>
      <c r="K93" s="50">
        <v>2.7641323323575278</v>
      </c>
      <c r="L93" s="50">
        <v>2.982247918456473</v>
      </c>
      <c r="M93" s="50">
        <v>2.239754097729268</v>
      </c>
      <c r="N93" s="50">
        <v>0.0</v>
      </c>
      <c r="O93" s="50">
        <v>4.356634762834552</v>
      </c>
      <c r="P93" s="50">
        <v>2.6457399103139014</v>
      </c>
      <c r="Q93" s="50">
        <v>4.36950977614055</v>
      </c>
      <c r="R93" s="50">
        <v>2.722327709403654</v>
      </c>
      <c r="S93" s="50">
        <v>0.5435351691514626</v>
      </c>
      <c r="T93" s="50">
        <v>0.0</v>
      </c>
      <c r="U93" s="50">
        <v>0.0</v>
      </c>
      <c r="V93" s="50">
        <v>0.43590362700943863</v>
      </c>
      <c r="W93" s="50">
        <v>0.24485969904022534</v>
      </c>
      <c r="X93" s="50">
        <v>1.4835937042219396</v>
      </c>
      <c r="Y93" s="50">
        <v>4.280313984588921</v>
      </c>
    </row>
    <row r="94" ht="14.25" customHeight="1">
      <c r="A94" s="49" t="s">
        <v>308</v>
      </c>
      <c r="B94" s="23">
        <v>2021.0</v>
      </c>
      <c r="C94" s="50">
        <v>8.710553104852393</v>
      </c>
      <c r="D94" s="50">
        <v>2.0250588373107306</v>
      </c>
      <c r="E94" s="50">
        <v>6.663432768290594</v>
      </c>
      <c r="F94" s="50">
        <v>7.126196777328044</v>
      </c>
      <c r="G94" s="50">
        <v>6.13131037194544</v>
      </c>
      <c r="H94" s="50">
        <v>7.880373482745568</v>
      </c>
      <c r="I94" s="50">
        <v>6.402017006130116</v>
      </c>
      <c r="J94" s="50">
        <v>7.878922176918986</v>
      </c>
      <c r="K94" s="50">
        <v>7.387104221931557</v>
      </c>
      <c r="L94" s="50">
        <v>6.759207296938499</v>
      </c>
      <c r="M94" s="50">
        <v>8.911651037875192</v>
      </c>
      <c r="N94" s="50">
        <v>10.0</v>
      </c>
      <c r="O94" s="50">
        <v>8.389235752575651</v>
      </c>
      <c r="P94" s="50">
        <v>3.8565022421524664</v>
      </c>
      <c r="Q94" s="50">
        <v>3.7035987531878725</v>
      </c>
      <c r="R94" s="50">
        <v>6.972197557158236</v>
      </c>
      <c r="S94" s="50">
        <v>5.369328569603469</v>
      </c>
      <c r="T94" s="50">
        <v>3.876681026324771</v>
      </c>
      <c r="U94" s="50">
        <v>2.3879414783715798</v>
      </c>
      <c r="V94" s="50">
        <v>2.39227062932124</v>
      </c>
      <c r="W94" s="50">
        <v>3.506555425905265</v>
      </c>
      <c r="X94" s="50">
        <v>5.2393764915317504</v>
      </c>
      <c r="Y94" s="50">
        <v>6.030452009901673</v>
      </c>
    </row>
    <row r="95" ht="14.25" hidden="1" customHeight="1">
      <c r="A95" s="51" t="s">
        <v>321</v>
      </c>
      <c r="B95" s="23">
        <v>2021.0</v>
      </c>
      <c r="C95" s="50">
        <v>5.164574143196471</v>
      </c>
      <c r="D95" s="50">
        <v>1.83931176759923</v>
      </c>
      <c r="E95" s="50">
        <v>3.8144049576733523</v>
      </c>
      <c r="F95" s="50">
        <v>6.201572726192477</v>
      </c>
      <c r="G95" s="50">
        <v>4.254965898665382</v>
      </c>
      <c r="H95" s="50">
        <v>2.6440401328393213</v>
      </c>
      <c r="I95" s="50">
        <v>1.1738663894183001</v>
      </c>
      <c r="J95" s="50">
        <v>4.171246232937422</v>
      </c>
      <c r="K95" s="50">
        <v>2.663050918398348</v>
      </c>
      <c r="L95" s="50">
        <v>3.459008408531865</v>
      </c>
      <c r="M95" s="50">
        <v>0.837178522864467</v>
      </c>
      <c r="N95" s="50">
        <v>0.0</v>
      </c>
      <c r="O95" s="50">
        <v>1.206055403314822</v>
      </c>
      <c r="P95" s="50">
        <v>2.5560538116591927</v>
      </c>
      <c r="Q95" s="50">
        <v>1.4168319637291018</v>
      </c>
      <c r="R95" s="50">
        <v>1.2032239403135168</v>
      </c>
      <c r="S95" s="50">
        <v>0.0</v>
      </c>
      <c r="T95" s="50">
        <v>0.0</v>
      </c>
      <c r="U95" s="50">
        <v>0.27106306312072925</v>
      </c>
      <c r="V95" s="50">
        <v>0.3575467309898386</v>
      </c>
      <c r="W95" s="50">
        <v>0.15715244852764196</v>
      </c>
      <c r="X95" s="50">
        <v>0.6801881944205792</v>
      </c>
      <c r="Y95" s="50">
        <v>4.331555263999397</v>
      </c>
    </row>
    <row r="96" ht="14.25" hidden="1" customHeight="1">
      <c r="A96" s="49" t="s">
        <v>317</v>
      </c>
      <c r="B96" s="23">
        <v>2021.0</v>
      </c>
      <c r="C96" s="50">
        <v>6.674584323040381</v>
      </c>
      <c r="D96" s="50">
        <v>2.276664602579188</v>
      </c>
      <c r="E96" s="50">
        <v>5.748648334707244</v>
      </c>
      <c r="F96" s="50">
        <v>8.151032190835135</v>
      </c>
      <c r="G96" s="50">
        <v>5.712732362790488</v>
      </c>
      <c r="H96" s="50">
        <v>1.3246873722408812</v>
      </c>
      <c r="I96" s="50">
        <v>1.14325220098242</v>
      </c>
      <c r="J96" s="50">
        <v>3.6261301187732675</v>
      </c>
      <c r="K96" s="50">
        <v>2.0313565639988562</v>
      </c>
      <c r="L96" s="50">
        <v>3.8720444633946722</v>
      </c>
      <c r="M96" s="50">
        <v>0.3980375739418327</v>
      </c>
      <c r="N96" s="50">
        <v>0.0</v>
      </c>
      <c r="O96" s="50">
        <v>1.7855880333873282</v>
      </c>
      <c r="P96" s="50">
        <v>2.42152466367713</v>
      </c>
      <c r="Q96" s="50">
        <v>2.296684613204874</v>
      </c>
      <c r="R96" s="50">
        <v>1.3803669768422329</v>
      </c>
      <c r="S96" s="50">
        <v>1.15913128303032</v>
      </c>
      <c r="T96" s="50">
        <v>1.8830213006723704</v>
      </c>
      <c r="U96" s="50">
        <v>0.7732636307533469</v>
      </c>
      <c r="V96" s="50">
        <v>0.9295985966130211</v>
      </c>
      <c r="W96" s="50">
        <v>1.1862537027672646</v>
      </c>
      <c r="X96" s="50">
        <v>1.2833103398047485</v>
      </c>
      <c r="Y96" s="50">
        <v>4.37694671648107</v>
      </c>
    </row>
    <row r="97" ht="14.25" hidden="1" customHeight="1">
      <c r="A97" s="51" t="s">
        <v>322</v>
      </c>
      <c r="B97" s="23">
        <v>2021.0</v>
      </c>
      <c r="C97" s="50">
        <v>6.70173057346454</v>
      </c>
      <c r="D97" s="50">
        <v>1.3663395691239513</v>
      </c>
      <c r="E97" s="50">
        <v>5.885524359698251</v>
      </c>
      <c r="F97" s="50">
        <v>6.998254642270995</v>
      </c>
      <c r="G97" s="50">
        <v>5.237962286139435</v>
      </c>
      <c r="H97" s="50">
        <v>2.474592679927126</v>
      </c>
      <c r="I97" s="50">
        <v>1.5347977837923743</v>
      </c>
      <c r="J97" s="50">
        <v>3.151627961945282</v>
      </c>
      <c r="K97" s="50">
        <v>2.3870061418882607</v>
      </c>
      <c r="L97" s="50">
        <v>3.8124842140138475</v>
      </c>
      <c r="M97" s="50">
        <v>0.0</v>
      </c>
      <c r="N97" s="50">
        <v>0.0</v>
      </c>
      <c r="O97" s="50">
        <v>0.5797343693384507</v>
      </c>
      <c r="P97" s="50">
        <v>0.0</v>
      </c>
      <c r="Q97" s="50">
        <v>0.0</v>
      </c>
      <c r="R97" s="50">
        <v>0.11594687386769013</v>
      </c>
      <c r="S97" s="50">
        <v>0.0</v>
      </c>
      <c r="T97" s="50">
        <v>0.0</v>
      </c>
      <c r="U97" s="50">
        <v>1.5836013589769282</v>
      </c>
      <c r="V97" s="50">
        <v>0.9122215749503468</v>
      </c>
      <c r="W97" s="50">
        <v>0.6239557334818188</v>
      </c>
      <c r="X97" s="50">
        <v>0.3699513036747545</v>
      </c>
      <c r="Y97" s="50">
        <v>4.312254657871541</v>
      </c>
    </row>
    <row r="98" ht="14.25" hidden="1" customHeight="1">
      <c r="A98" s="49" t="s">
        <v>329</v>
      </c>
      <c r="B98" s="52">
        <v>2022.0</v>
      </c>
      <c r="C98" s="50">
        <v>3.7902952154733627</v>
      </c>
      <c r="D98" s="50">
        <v>0.6413914494691879</v>
      </c>
      <c r="E98" s="50">
        <v>2.301919342994936</v>
      </c>
      <c r="F98" s="50">
        <v>6.826159350944124</v>
      </c>
      <c r="G98" s="50">
        <v>3.3899413397204023</v>
      </c>
      <c r="H98" s="50">
        <v>0.23695848122620844</v>
      </c>
      <c r="I98" s="50">
        <v>0.7862848193174498</v>
      </c>
      <c r="J98" s="50">
        <v>0.8441174732612422</v>
      </c>
      <c r="K98" s="50">
        <v>0.6224535912683001</v>
      </c>
      <c r="L98" s="50">
        <v>2.0061974654943513</v>
      </c>
      <c r="M98" s="50">
        <v>0.0</v>
      </c>
      <c r="N98" s="50">
        <v>0.0</v>
      </c>
      <c r="O98" s="50">
        <v>0.6720686894783312</v>
      </c>
      <c r="P98" s="50">
        <v>0.0</v>
      </c>
      <c r="Q98" s="50">
        <v>0.0</v>
      </c>
      <c r="R98" s="50">
        <v>0.13441373789566624</v>
      </c>
      <c r="S98" s="50">
        <v>0.0</v>
      </c>
      <c r="T98" s="50">
        <v>0.0</v>
      </c>
      <c r="U98" s="50">
        <v>0.0</v>
      </c>
      <c r="V98" s="50">
        <v>0.32376699998824565</v>
      </c>
      <c r="W98" s="50">
        <v>0.08094174999706141</v>
      </c>
      <c r="X98" s="50">
        <v>0.10767774394636384</v>
      </c>
      <c r="Y98" s="50">
        <v>3.7353159826477507</v>
      </c>
    </row>
    <row r="99" ht="14.25" hidden="1" customHeight="1">
      <c r="A99" s="51" t="s">
        <v>306</v>
      </c>
      <c r="B99" s="23">
        <v>2022.0</v>
      </c>
      <c r="C99" s="50">
        <v>9.88462843569732</v>
      </c>
      <c r="D99" s="50">
        <v>3.943282998574938</v>
      </c>
      <c r="E99" s="50">
        <v>6.30689237580836</v>
      </c>
      <c r="F99" s="50">
        <v>7.236620942844958</v>
      </c>
      <c r="G99" s="50">
        <v>6.842856188231394</v>
      </c>
      <c r="H99" s="50">
        <v>4.953073751577663</v>
      </c>
      <c r="I99" s="50">
        <v>4.195535921173469</v>
      </c>
      <c r="J99" s="50">
        <v>2.806830940140637</v>
      </c>
      <c r="K99" s="50">
        <v>3.9851468709639226</v>
      </c>
      <c r="L99" s="50">
        <v>5.414001529597659</v>
      </c>
      <c r="M99" s="50">
        <v>1.8073316028681958</v>
      </c>
      <c r="N99" s="50">
        <v>0.0</v>
      </c>
      <c r="O99" s="50">
        <v>4.956872726689545</v>
      </c>
      <c r="P99" s="50">
        <v>4.439461883408072</v>
      </c>
      <c r="Q99" s="50">
        <v>2.4241994899404933</v>
      </c>
      <c r="R99" s="50">
        <v>2.725573140581261</v>
      </c>
      <c r="S99" s="50">
        <v>10.0</v>
      </c>
      <c r="T99" s="50">
        <v>5.959568939509916</v>
      </c>
      <c r="U99" s="50">
        <v>2.340723403520287</v>
      </c>
      <c r="V99" s="50">
        <v>2.6967119945664573</v>
      </c>
      <c r="W99" s="50">
        <v>5.249251084399164</v>
      </c>
      <c r="X99" s="50">
        <v>3.9874121124902127</v>
      </c>
      <c r="Y99" s="50">
        <v>5.488893384690401</v>
      </c>
    </row>
    <row r="100" ht="14.25" hidden="1" customHeight="1">
      <c r="A100" s="49" t="s">
        <v>320</v>
      </c>
      <c r="B100" s="23">
        <v>2022.0</v>
      </c>
      <c r="C100" s="50">
        <v>6.348338474802608</v>
      </c>
      <c r="D100" s="50">
        <v>4.376727135000432</v>
      </c>
      <c r="E100" s="50">
        <v>5.395339391070188</v>
      </c>
      <c r="F100" s="50">
        <v>7.286569729374536</v>
      </c>
      <c r="G100" s="50">
        <v>5.851743682561942</v>
      </c>
      <c r="H100" s="50">
        <v>2.6968011373880927</v>
      </c>
      <c r="I100" s="50">
        <v>3.935667136969832</v>
      </c>
      <c r="J100" s="50">
        <v>5.371978963540744</v>
      </c>
      <c r="K100" s="50">
        <v>4.001482412632889</v>
      </c>
      <c r="L100" s="50">
        <v>4.9266130475974155</v>
      </c>
      <c r="M100" s="50">
        <v>3.887124085777428</v>
      </c>
      <c r="N100" s="50">
        <v>4.875014571880659</v>
      </c>
      <c r="O100" s="50">
        <v>5.547472559640509</v>
      </c>
      <c r="P100" s="50">
        <v>6.816143497757848</v>
      </c>
      <c r="Q100" s="50">
        <v>2.9002550297534713</v>
      </c>
      <c r="R100" s="50">
        <v>4.805201948961983</v>
      </c>
      <c r="S100" s="50">
        <v>2.7068975208672668</v>
      </c>
      <c r="T100" s="50">
        <v>2.3097372012355857</v>
      </c>
      <c r="U100" s="50">
        <v>1.2403392582436932</v>
      </c>
      <c r="V100" s="50">
        <v>3.060177250282435</v>
      </c>
      <c r="W100" s="50">
        <v>2.3292878076572454</v>
      </c>
      <c r="X100" s="50">
        <v>3.5672448783096145</v>
      </c>
      <c r="Y100" s="50">
        <v>5.859361089736317</v>
      </c>
    </row>
    <row r="101" ht="14.25" customHeight="1">
      <c r="A101" s="51" t="s">
        <v>305</v>
      </c>
      <c r="B101" s="23">
        <v>2022.0</v>
      </c>
      <c r="C101" s="50">
        <v>9.358669833729218</v>
      </c>
      <c r="D101" s="50">
        <v>5.53598301827531</v>
      </c>
      <c r="E101" s="50">
        <v>10.0</v>
      </c>
      <c r="F101" s="50">
        <v>9.24514721966052</v>
      </c>
      <c r="G101" s="50">
        <v>8.534950017916263</v>
      </c>
      <c r="H101" s="50">
        <v>5.793689079513747</v>
      </c>
      <c r="I101" s="50">
        <v>6.026897661141514</v>
      </c>
      <c r="J101" s="50">
        <v>7.299533179696272</v>
      </c>
      <c r="K101" s="50">
        <v>6.373373306783844</v>
      </c>
      <c r="L101" s="50">
        <v>7.454161662350053</v>
      </c>
      <c r="M101" s="50">
        <v>4.800680460103922</v>
      </c>
      <c r="N101" s="50">
        <v>7.143516539320053</v>
      </c>
      <c r="O101" s="50">
        <v>6.759092331222406</v>
      </c>
      <c r="P101" s="50">
        <v>7.085201793721973</v>
      </c>
      <c r="Q101" s="50">
        <v>3.1581184471521677</v>
      </c>
      <c r="R101" s="50">
        <v>5.7893219143041055</v>
      </c>
      <c r="S101" s="50">
        <v>5.801140940409132</v>
      </c>
      <c r="T101" s="50">
        <v>5.550068418101306</v>
      </c>
      <c r="U101" s="50">
        <v>3.7560199970202506</v>
      </c>
      <c r="V101" s="50">
        <v>8.10165170877089</v>
      </c>
      <c r="W101" s="50">
        <v>5.802220266075395</v>
      </c>
      <c r="X101" s="50">
        <v>5.795771090189749</v>
      </c>
      <c r="Y101" s="50">
        <v>7.191374955132107</v>
      </c>
    </row>
    <row r="102" ht="14.25" customHeight="1">
      <c r="A102" s="49" t="s">
        <v>310</v>
      </c>
      <c r="B102" s="23">
        <v>2022.0</v>
      </c>
      <c r="C102" s="50">
        <v>8.380245283890911</v>
      </c>
      <c r="D102" s="50">
        <v>4.866302129725632</v>
      </c>
      <c r="E102" s="50">
        <v>5.935382936122159</v>
      </c>
      <c r="F102" s="50">
        <v>8.067689412977371</v>
      </c>
      <c r="G102" s="50">
        <v>6.812404940679018</v>
      </c>
      <c r="H102" s="50">
        <v>3.840109742384783</v>
      </c>
      <c r="I102" s="50">
        <v>4.031024844381413</v>
      </c>
      <c r="J102" s="50">
        <v>5.520297819535544</v>
      </c>
      <c r="K102" s="50">
        <v>4.46381080210058</v>
      </c>
      <c r="L102" s="50">
        <v>5.638107871389799</v>
      </c>
      <c r="M102" s="50">
        <v>4.479885183359672</v>
      </c>
      <c r="N102" s="50">
        <v>2.349522149855064</v>
      </c>
      <c r="O102" s="50">
        <v>6.678660732624645</v>
      </c>
      <c r="P102" s="50">
        <v>5.829596412556054</v>
      </c>
      <c r="Q102" s="50">
        <v>3.047605553981298</v>
      </c>
      <c r="R102" s="50">
        <v>4.477054006475346</v>
      </c>
      <c r="S102" s="50">
        <v>9.691271119656491</v>
      </c>
      <c r="T102" s="50">
        <v>3.76769309212806</v>
      </c>
      <c r="U102" s="50">
        <v>2.2102929090931482</v>
      </c>
      <c r="V102" s="50">
        <v>3.2642472457171268</v>
      </c>
      <c r="W102" s="50">
        <v>4.733376091648706</v>
      </c>
      <c r="X102" s="50">
        <v>4.605215049062026</v>
      </c>
      <c r="Y102" s="50">
        <v>6.011654641467176</v>
      </c>
    </row>
    <row r="103" ht="14.25" hidden="1" customHeight="1">
      <c r="A103" s="51" t="s">
        <v>311</v>
      </c>
      <c r="B103" s="23">
        <v>2022.0</v>
      </c>
      <c r="C103" s="50">
        <v>8.131031920831322</v>
      </c>
      <c r="D103" s="50">
        <v>4.966878193999823</v>
      </c>
      <c r="E103" s="50">
        <v>6.264302442277518</v>
      </c>
      <c r="F103" s="50">
        <v>9.125846865427327</v>
      </c>
      <c r="G103" s="50">
        <v>7.1220148556339975</v>
      </c>
      <c r="H103" s="50">
        <v>2.423694255230453</v>
      </c>
      <c r="I103" s="50">
        <v>2.6027458749397963</v>
      </c>
      <c r="J103" s="50">
        <v>5.586775394433612</v>
      </c>
      <c r="K103" s="50">
        <v>3.537738508201287</v>
      </c>
      <c r="L103" s="50">
        <v>5.329876681917643</v>
      </c>
      <c r="M103" s="50">
        <v>3.795134652502265</v>
      </c>
      <c r="N103" s="50">
        <v>2.73072847909972</v>
      </c>
      <c r="O103" s="50">
        <v>4.928880322330878</v>
      </c>
      <c r="P103" s="50">
        <v>5.47085201793722</v>
      </c>
      <c r="Q103" s="50">
        <v>3.536412581467838</v>
      </c>
      <c r="R103" s="50">
        <v>4.092401610667585</v>
      </c>
      <c r="S103" s="50">
        <v>2.9651357031506103</v>
      </c>
      <c r="T103" s="50">
        <v>1.605631668634926</v>
      </c>
      <c r="U103" s="50">
        <v>2.877178650863698</v>
      </c>
      <c r="V103" s="50">
        <v>4.96512512404694</v>
      </c>
      <c r="W103" s="50">
        <v>3.103267786674044</v>
      </c>
      <c r="X103" s="50">
        <v>3.5978346986708143</v>
      </c>
      <c r="Y103" s="50">
        <v>6.250430599081493</v>
      </c>
    </row>
    <row r="104" ht="14.25" hidden="1" customHeight="1">
      <c r="A104" s="49" t="s">
        <v>318</v>
      </c>
      <c r="B104" s="23">
        <v>2022.0</v>
      </c>
      <c r="C104" s="50">
        <v>5.870376654224636</v>
      </c>
      <c r="D104" s="50">
        <v>4.276636843447285</v>
      </c>
      <c r="E104" s="50">
        <v>3.3888774214330635</v>
      </c>
      <c r="F104" s="50">
        <v>6.367782670741486</v>
      </c>
      <c r="G104" s="50">
        <v>4.9759183974616175</v>
      </c>
      <c r="H104" s="50">
        <v>2.032178314342366</v>
      </c>
      <c r="I104" s="50">
        <v>2.6946036047949082</v>
      </c>
      <c r="J104" s="50">
        <v>3.8914495065886663</v>
      </c>
      <c r="K104" s="50">
        <v>2.872743808575313</v>
      </c>
      <c r="L104" s="50">
        <v>3.9243311030184658</v>
      </c>
      <c r="M104" s="50">
        <v>2.6143920434966255</v>
      </c>
      <c r="N104" s="50">
        <v>1.2592147641154887</v>
      </c>
      <c r="O104" s="50">
        <v>4.351094513923809</v>
      </c>
      <c r="P104" s="50">
        <v>0.0</v>
      </c>
      <c r="Q104" s="50">
        <v>4.1626523094361</v>
      </c>
      <c r="R104" s="50">
        <v>2.477470726194405</v>
      </c>
      <c r="S104" s="50">
        <v>1.087630128450908</v>
      </c>
      <c r="T104" s="50">
        <v>0.6730921531648832</v>
      </c>
      <c r="U104" s="50">
        <v>2.7640562642707156</v>
      </c>
      <c r="V104" s="50">
        <v>1.728359495107635</v>
      </c>
      <c r="W104" s="50">
        <v>1.5632845102485353</v>
      </c>
      <c r="X104" s="50">
        <v>2.02037761822147</v>
      </c>
      <c r="Y104" s="50">
        <v>5.297643302126199</v>
      </c>
    </row>
    <row r="105" ht="14.25" hidden="1" customHeight="1">
      <c r="A105" s="51" t="s">
        <v>324</v>
      </c>
      <c r="B105" s="23">
        <v>2022.0</v>
      </c>
      <c r="C105" s="50">
        <v>5.452204249989652</v>
      </c>
      <c r="D105" s="50">
        <v>4.197967560237135</v>
      </c>
      <c r="E105" s="50">
        <v>4.238404167188667</v>
      </c>
      <c r="F105" s="50">
        <v>7.096918427480247</v>
      </c>
      <c r="G105" s="50">
        <v>5.246373601223926</v>
      </c>
      <c r="H105" s="50">
        <v>2.7578889463179967</v>
      </c>
      <c r="I105" s="50">
        <v>2.4807258601634614</v>
      </c>
      <c r="J105" s="50">
        <v>3.9000177273533065</v>
      </c>
      <c r="K105" s="50">
        <v>3.046210844611588</v>
      </c>
      <c r="L105" s="50">
        <v>4.146292222917757</v>
      </c>
      <c r="M105" s="50">
        <v>1.3370849319138742</v>
      </c>
      <c r="N105" s="50">
        <v>2.103744092887533</v>
      </c>
      <c r="O105" s="50">
        <v>2.4031549748506182</v>
      </c>
      <c r="P105" s="50">
        <v>6.188340807174888</v>
      </c>
      <c r="Q105" s="50">
        <v>3.13828279965996</v>
      </c>
      <c r="R105" s="50">
        <v>3.0341215212973744</v>
      </c>
      <c r="S105" s="50">
        <v>1.7132479760958024</v>
      </c>
      <c r="T105" s="50">
        <v>0.3373563465603642</v>
      </c>
      <c r="U105" s="50">
        <v>1.1082844078537166</v>
      </c>
      <c r="V105" s="50">
        <v>1.4873308562120586</v>
      </c>
      <c r="W105" s="50">
        <v>1.1615548966804854</v>
      </c>
      <c r="X105" s="50">
        <v>2.09783820898893</v>
      </c>
      <c r="Y105" s="50">
        <v>4.57475850096827</v>
      </c>
    </row>
    <row r="106" ht="14.25" hidden="1" customHeight="1">
      <c r="A106" s="49" t="s">
        <v>327</v>
      </c>
      <c r="B106" s="23">
        <v>2022.0</v>
      </c>
      <c r="C106" s="50">
        <v>5.066168985408891</v>
      </c>
      <c r="D106" s="50">
        <v>2.0802424100072585</v>
      </c>
      <c r="E106" s="50">
        <v>2.9053885915774282</v>
      </c>
      <c r="F106" s="50">
        <v>6.279852464004629</v>
      </c>
      <c r="G106" s="50">
        <v>4.082913112749552</v>
      </c>
      <c r="H106" s="50">
        <v>2.3560452288325626</v>
      </c>
      <c r="I106" s="50">
        <v>0.9398592244729107</v>
      </c>
      <c r="J106" s="50">
        <v>6.893872244873841</v>
      </c>
      <c r="K106" s="50">
        <v>3.396592232726438</v>
      </c>
      <c r="L106" s="50">
        <v>3.739752672737995</v>
      </c>
      <c r="M106" s="50">
        <v>1.5717766077392064</v>
      </c>
      <c r="N106" s="50">
        <v>0.0</v>
      </c>
      <c r="O106" s="50">
        <v>2.980892054283295</v>
      </c>
      <c r="P106" s="50">
        <v>4.394618834080718</v>
      </c>
      <c r="Q106" s="50">
        <v>2.1790875602153585</v>
      </c>
      <c r="R106" s="50">
        <v>2.2252750112637156</v>
      </c>
      <c r="S106" s="50">
        <v>0.0</v>
      </c>
      <c r="T106" s="50">
        <v>0.0</v>
      </c>
      <c r="U106" s="50">
        <v>0.0</v>
      </c>
      <c r="V106" s="50">
        <v>0.31269884833845163</v>
      </c>
      <c r="W106" s="50">
        <v>0.07817471208461291</v>
      </c>
      <c r="X106" s="50">
        <v>1.1517248616741642</v>
      </c>
      <c r="Y106" s="50">
        <v>4.2221488846575035</v>
      </c>
    </row>
    <row r="107" ht="14.25" hidden="1" customHeight="1">
      <c r="A107" s="51" t="s">
        <v>313</v>
      </c>
      <c r="B107" s="23">
        <v>2022.0</v>
      </c>
      <c r="C107" s="50">
        <v>8.951476077366815</v>
      </c>
      <c r="D107" s="50">
        <v>4.261135818942006</v>
      </c>
      <c r="E107" s="50">
        <v>6.138041847624559</v>
      </c>
      <c r="F107" s="50">
        <v>7.806938557083207</v>
      </c>
      <c r="G107" s="50">
        <v>6.789398075254147</v>
      </c>
      <c r="H107" s="50">
        <v>3.4166701133330952</v>
      </c>
      <c r="I107" s="50">
        <v>4.423883677002418</v>
      </c>
      <c r="J107" s="50">
        <v>4.0288364947113395</v>
      </c>
      <c r="K107" s="50">
        <v>3.956463428348951</v>
      </c>
      <c r="L107" s="50">
        <v>5.372930751801549</v>
      </c>
      <c r="M107" s="50">
        <v>2.047737459074322</v>
      </c>
      <c r="N107" s="50">
        <v>0.0</v>
      </c>
      <c r="O107" s="50">
        <v>4.167355582938821</v>
      </c>
      <c r="P107" s="50">
        <v>7.040358744394619</v>
      </c>
      <c r="Q107" s="50">
        <v>4.147067157835081</v>
      </c>
      <c r="R107" s="50">
        <v>3.4805037888485684</v>
      </c>
      <c r="S107" s="50">
        <v>2.3852989804353815</v>
      </c>
      <c r="T107" s="50">
        <v>1.9374719906142088</v>
      </c>
      <c r="U107" s="50">
        <v>5.716627516435451</v>
      </c>
      <c r="V107" s="50">
        <v>2.847297725454715</v>
      </c>
      <c r="W107" s="50">
        <v>3.2216740532349384</v>
      </c>
      <c r="X107" s="50">
        <v>3.351088921041754</v>
      </c>
      <c r="Y107" s="50">
        <v>5.392749426809717</v>
      </c>
    </row>
    <row r="108" ht="14.25" hidden="1" customHeight="1">
      <c r="A108" s="49" t="s">
        <v>334</v>
      </c>
      <c r="B108" s="23">
        <v>2022.0</v>
      </c>
      <c r="C108" s="50">
        <v>0.9026128266033255</v>
      </c>
      <c r="D108" s="50">
        <v>0.025549475126210034</v>
      </c>
      <c r="E108" s="50">
        <v>1.9560418668428434</v>
      </c>
      <c r="F108" s="50">
        <v>3.153106912629096</v>
      </c>
      <c r="G108" s="50">
        <v>1.5093277703003687</v>
      </c>
      <c r="H108" s="50">
        <v>0.9245757278482224</v>
      </c>
      <c r="I108" s="50">
        <v>1.4224163553890556</v>
      </c>
      <c r="J108" s="50">
        <v>2.954558884358565</v>
      </c>
      <c r="K108" s="50">
        <v>1.767183655865281</v>
      </c>
      <c r="L108" s="50">
        <v>1.6382557130828248</v>
      </c>
      <c r="M108" s="50">
        <v>0.0</v>
      </c>
      <c r="N108" s="50">
        <v>0.0</v>
      </c>
      <c r="O108" s="50">
        <v>0.0</v>
      </c>
      <c r="P108" s="50">
        <v>0.0</v>
      </c>
      <c r="Q108" s="50">
        <v>0.0</v>
      </c>
      <c r="R108" s="50">
        <v>0.0</v>
      </c>
      <c r="S108" s="50">
        <v>0.0</v>
      </c>
      <c r="T108" s="50">
        <v>0.0</v>
      </c>
      <c r="U108" s="50">
        <v>0.0</v>
      </c>
      <c r="V108" s="50">
        <v>0.4078145202548566</v>
      </c>
      <c r="W108" s="50">
        <v>0.10195363006371415</v>
      </c>
      <c r="X108" s="50">
        <v>0.050976815031857074</v>
      </c>
      <c r="Y108" s="50">
        <v>2.564483388743788</v>
      </c>
    </row>
    <row r="109" ht="14.25" hidden="1" customHeight="1">
      <c r="A109" s="51" t="s">
        <v>335</v>
      </c>
      <c r="B109" s="23">
        <v>2022.0</v>
      </c>
      <c r="C109" s="50">
        <v>0.7295554801493045</v>
      </c>
      <c r="D109" s="50">
        <v>0.04991277734312353</v>
      </c>
      <c r="E109" s="50">
        <v>1.1145780258784648</v>
      </c>
      <c r="F109" s="50">
        <v>0.5491443848632712</v>
      </c>
      <c r="G109" s="50">
        <v>0.610797667058541</v>
      </c>
      <c r="H109" s="50">
        <v>0.6423014358385204</v>
      </c>
      <c r="I109" s="50">
        <v>0.11905382929086936</v>
      </c>
      <c r="J109" s="50">
        <v>1.8802812740057908</v>
      </c>
      <c r="K109" s="50">
        <v>0.8805455130450601</v>
      </c>
      <c r="L109" s="50">
        <v>0.7456715900518006</v>
      </c>
      <c r="M109" s="50">
        <v>4.217776122191546</v>
      </c>
      <c r="N109" s="50">
        <v>0.0</v>
      </c>
      <c r="O109" s="50">
        <v>3.384217675480246</v>
      </c>
      <c r="P109" s="50">
        <v>4.932735426008969</v>
      </c>
      <c r="Q109" s="50">
        <v>7.154590535562483</v>
      </c>
      <c r="R109" s="50">
        <v>3.937863951848649</v>
      </c>
      <c r="S109" s="50">
        <v>0.0</v>
      </c>
      <c r="T109" s="50">
        <v>0.0</v>
      </c>
      <c r="U109" s="50">
        <v>0.0</v>
      </c>
      <c r="V109" s="50">
        <v>0.820868644214592</v>
      </c>
      <c r="W109" s="50">
        <v>0.205217161053648</v>
      </c>
      <c r="X109" s="50">
        <v>2.0715405564511484</v>
      </c>
      <c r="Y109" s="50">
        <v>3.2398152052101987</v>
      </c>
    </row>
    <row r="110" ht="14.25" customHeight="1">
      <c r="A110" s="49" t="s">
        <v>315</v>
      </c>
      <c r="B110" s="23">
        <v>2022.0</v>
      </c>
      <c r="C110" s="50">
        <v>7.192540190011728</v>
      </c>
      <c r="D110" s="50">
        <v>4.378098217833072</v>
      </c>
      <c r="E110" s="50">
        <v>6.930020102896837</v>
      </c>
      <c r="F110" s="50">
        <v>7.796658848926016</v>
      </c>
      <c r="G110" s="50">
        <v>6.574329339916913</v>
      </c>
      <c r="H110" s="50">
        <v>4.13071754153969</v>
      </c>
      <c r="I110" s="50">
        <v>6.857290083235167</v>
      </c>
      <c r="J110" s="50">
        <v>7.386397210896414</v>
      </c>
      <c r="K110" s="50">
        <v>6.124801611890423</v>
      </c>
      <c r="L110" s="50">
        <v>6.349565475903669</v>
      </c>
      <c r="M110" s="50">
        <v>9.369617406043261</v>
      </c>
      <c r="N110" s="50">
        <v>7.5385117144561455</v>
      </c>
      <c r="O110" s="50">
        <v>9.148851033134878</v>
      </c>
      <c r="P110" s="50">
        <v>4.2152466367713</v>
      </c>
      <c r="Q110" s="50">
        <v>4.475772173420233</v>
      </c>
      <c r="R110" s="50">
        <v>6.949599792765165</v>
      </c>
      <c r="S110" s="50">
        <v>8.061597106364705</v>
      </c>
      <c r="T110" s="50">
        <v>5.372780165482674</v>
      </c>
      <c r="U110" s="50">
        <v>3.0337104034411015</v>
      </c>
      <c r="V110" s="50">
        <v>3.37997022370446</v>
      </c>
      <c r="W110" s="50">
        <v>4.962014474748235</v>
      </c>
      <c r="X110" s="50">
        <v>5.9558071337567</v>
      </c>
      <c r="Y110" s="50">
        <v>5.893837758390936</v>
      </c>
    </row>
    <row r="111" ht="14.25" customHeight="1">
      <c r="A111" s="51" t="s">
        <v>307</v>
      </c>
      <c r="B111" s="23">
        <v>2022.0</v>
      </c>
      <c r="C111" s="50">
        <v>9.191070953134018</v>
      </c>
      <c r="D111" s="50">
        <v>4.899709911711064</v>
      </c>
      <c r="E111" s="50">
        <v>6.3319042589521874</v>
      </c>
      <c r="F111" s="50">
        <v>7.929417314528923</v>
      </c>
      <c r="G111" s="50">
        <v>7.088025609581549</v>
      </c>
      <c r="H111" s="50">
        <v>4.125981447301036</v>
      </c>
      <c r="I111" s="50">
        <v>3.8066471670805573</v>
      </c>
      <c r="J111" s="50">
        <v>6.711575961708917</v>
      </c>
      <c r="K111" s="50">
        <v>4.881401525363504</v>
      </c>
      <c r="L111" s="50">
        <v>5.984713567472526</v>
      </c>
      <c r="M111" s="50">
        <v>5.259773316138988</v>
      </c>
      <c r="N111" s="50">
        <v>4.573933024391332</v>
      </c>
      <c r="O111" s="50">
        <v>6.7421989036496175</v>
      </c>
      <c r="P111" s="50">
        <v>4.5291479820627805</v>
      </c>
      <c r="Q111" s="50">
        <v>3.4173986965145935</v>
      </c>
      <c r="R111" s="50">
        <v>4.904490384551463</v>
      </c>
      <c r="S111" s="50">
        <v>5.591319724050564</v>
      </c>
      <c r="T111" s="50">
        <v>3.1556516015443963</v>
      </c>
      <c r="U111" s="50">
        <v>5.28855011119861</v>
      </c>
      <c r="V111" s="50">
        <v>8.34836818792548</v>
      </c>
      <c r="W111" s="50">
        <v>5.595972406179763</v>
      </c>
      <c r="X111" s="50">
        <v>5.2502313953656135</v>
      </c>
      <c r="Y111" s="50">
        <v>6.4885316325833555</v>
      </c>
    </row>
    <row r="112" ht="14.25" hidden="1" customHeight="1">
      <c r="A112" s="49" t="s">
        <v>336</v>
      </c>
      <c r="B112" s="23">
        <v>2022.0</v>
      </c>
      <c r="C112" s="50">
        <v>0.0</v>
      </c>
      <c r="D112" s="50">
        <v>0.4420122764176172</v>
      </c>
      <c r="E112" s="50">
        <v>2.8951254964674016</v>
      </c>
      <c r="F112" s="50">
        <v>1.617506512220737</v>
      </c>
      <c r="G112" s="50">
        <v>1.238661071276439</v>
      </c>
      <c r="H112" s="50">
        <v>0.0</v>
      </c>
      <c r="I112" s="50">
        <v>0.0</v>
      </c>
      <c r="J112" s="50">
        <v>0.0</v>
      </c>
      <c r="K112" s="50">
        <v>0.0</v>
      </c>
      <c r="L112" s="50">
        <v>0.6193305356382195</v>
      </c>
      <c r="M112" s="50">
        <v>0.0</v>
      </c>
      <c r="N112" s="50">
        <v>0.0</v>
      </c>
      <c r="O112" s="50">
        <v>0.24871753522918136</v>
      </c>
      <c r="P112" s="50">
        <v>0.0</v>
      </c>
      <c r="Q112" s="50">
        <v>0.0</v>
      </c>
      <c r="R112" s="50">
        <v>0.04974350704583627</v>
      </c>
      <c r="S112" s="50">
        <v>0.0</v>
      </c>
      <c r="T112" s="50">
        <v>0.0</v>
      </c>
      <c r="U112" s="50">
        <v>0.0</v>
      </c>
      <c r="V112" s="50">
        <v>0.0</v>
      </c>
      <c r="W112" s="50">
        <v>0.0</v>
      </c>
      <c r="X112" s="50">
        <v>0.024871753522918136</v>
      </c>
      <c r="Y112" s="50">
        <v>2.307713674795407</v>
      </c>
    </row>
    <row r="113" ht="14.25" hidden="1" customHeight="1">
      <c r="A113" s="51" t="s">
        <v>331</v>
      </c>
      <c r="B113" s="23">
        <v>2022.0</v>
      </c>
      <c r="C113" s="50">
        <v>1.6559212758737698</v>
      </c>
      <c r="D113" s="50">
        <v>0.47449687166585286</v>
      </c>
      <c r="E113" s="50">
        <v>3.1086124058306286</v>
      </c>
      <c r="F113" s="50">
        <v>5.77460491186662</v>
      </c>
      <c r="G113" s="50">
        <v>2.7534088663092184</v>
      </c>
      <c r="H113" s="50">
        <v>1.56392085044986</v>
      </c>
      <c r="I113" s="50">
        <v>2.041806231051898</v>
      </c>
      <c r="J113" s="50">
        <v>0.6565029841044733</v>
      </c>
      <c r="K113" s="50">
        <v>1.420743355202077</v>
      </c>
      <c r="L113" s="50">
        <v>2.0870761107556475</v>
      </c>
      <c r="M113" s="50">
        <v>0.0</v>
      </c>
      <c r="N113" s="50">
        <v>0.0</v>
      </c>
      <c r="O113" s="50">
        <v>0.13000558459184716</v>
      </c>
      <c r="P113" s="50">
        <v>0.0</v>
      </c>
      <c r="Q113" s="50">
        <v>0.0</v>
      </c>
      <c r="R113" s="50">
        <v>0.026001116918369434</v>
      </c>
      <c r="S113" s="50">
        <v>0.0</v>
      </c>
      <c r="T113" s="50">
        <v>0.0</v>
      </c>
      <c r="U113" s="50">
        <v>0.0</v>
      </c>
      <c r="V113" s="50">
        <v>0.3468726601458937</v>
      </c>
      <c r="W113" s="50">
        <v>0.08671816503647342</v>
      </c>
      <c r="X113" s="50">
        <v>0.056359640977421424</v>
      </c>
      <c r="Y113" s="50">
        <v>3.7360352962931676</v>
      </c>
    </row>
    <row r="114" ht="14.25" hidden="1" customHeight="1">
      <c r="A114" s="49" t="s">
        <v>328</v>
      </c>
      <c r="B114" s="23">
        <v>2022.0</v>
      </c>
      <c r="C114" s="50">
        <v>4.496097726501527</v>
      </c>
      <c r="D114" s="50">
        <v>4.04699036203886</v>
      </c>
      <c r="E114" s="50">
        <v>2.3857966855434745</v>
      </c>
      <c r="F114" s="50">
        <v>6.167929796654147</v>
      </c>
      <c r="G114" s="50">
        <v>4.274203642684502</v>
      </c>
      <c r="H114" s="50">
        <v>2.8937094204313105</v>
      </c>
      <c r="I114" s="50">
        <v>3.215293506783405</v>
      </c>
      <c r="J114" s="50">
        <v>2.8313537788808136</v>
      </c>
      <c r="K114" s="50">
        <v>2.980118902031843</v>
      </c>
      <c r="L114" s="50">
        <v>3.6271612723581725</v>
      </c>
      <c r="M114" s="50">
        <v>2.894259334368185</v>
      </c>
      <c r="N114" s="50">
        <v>0.8432912570048272</v>
      </c>
      <c r="O114" s="50">
        <v>4.675810941358331</v>
      </c>
      <c r="P114" s="50">
        <v>5.829596412556054</v>
      </c>
      <c r="Q114" s="50">
        <v>3.2303768773023522</v>
      </c>
      <c r="R114" s="50">
        <v>3.4946669645179496</v>
      </c>
      <c r="S114" s="50">
        <v>0.6243271630057368</v>
      </c>
      <c r="T114" s="50">
        <v>0.0</v>
      </c>
      <c r="U114" s="50">
        <v>0.0</v>
      </c>
      <c r="V114" s="50">
        <v>0.6119631039014689</v>
      </c>
      <c r="W114" s="50">
        <v>0.3090725667268014</v>
      </c>
      <c r="X114" s="50">
        <v>1.9018697656223753</v>
      </c>
      <c r="Y114" s="50">
        <v>4.774995175411662</v>
      </c>
    </row>
    <row r="115" ht="14.25" hidden="1" customHeight="1">
      <c r="A115" s="51" t="s">
        <v>312</v>
      </c>
      <c r="B115" s="23">
        <v>2022.0</v>
      </c>
      <c r="C115" s="50">
        <v>8.534102477095352</v>
      </c>
      <c r="D115" s="50">
        <v>3.4802286113777647</v>
      </c>
      <c r="E115" s="50">
        <v>5.6451111414339366</v>
      </c>
      <c r="F115" s="50">
        <v>7.5311170960045235</v>
      </c>
      <c r="G115" s="50">
        <v>6.297639831477895</v>
      </c>
      <c r="H115" s="50">
        <v>2.958518446263014</v>
      </c>
      <c r="I115" s="50">
        <v>3.3091317265383218</v>
      </c>
      <c r="J115" s="50">
        <v>3.223128286946759</v>
      </c>
      <c r="K115" s="50">
        <v>3.163592819916032</v>
      </c>
      <c r="L115" s="50">
        <v>4.730616325696964</v>
      </c>
      <c r="M115" s="50">
        <v>1.7783921183905036</v>
      </c>
      <c r="N115" s="50">
        <v>0.0</v>
      </c>
      <c r="O115" s="50">
        <v>4.215925874109552</v>
      </c>
      <c r="P115" s="50">
        <v>8.699551569506726</v>
      </c>
      <c r="Q115" s="50">
        <v>3.4599036554264666</v>
      </c>
      <c r="R115" s="50">
        <v>3.6307546434866502</v>
      </c>
      <c r="S115" s="50">
        <v>4.315735650922565</v>
      </c>
      <c r="T115" s="50">
        <v>1.8695891259789836</v>
      </c>
      <c r="U115" s="50">
        <v>0.7677477015556196</v>
      </c>
      <c r="V115" s="50">
        <v>1.6344215820679866</v>
      </c>
      <c r="W115" s="50">
        <v>2.1468735151312885</v>
      </c>
      <c r="X115" s="50">
        <v>2.8888140793089696</v>
      </c>
      <c r="Y115" s="50">
        <v>5.269390287189196</v>
      </c>
    </row>
    <row r="116" ht="14.25" hidden="1" customHeight="1">
      <c r="A116" s="49" t="s">
        <v>314</v>
      </c>
      <c r="B116" s="23">
        <v>2022.0</v>
      </c>
      <c r="C116" s="50">
        <v>7.156430268069222</v>
      </c>
      <c r="D116" s="50">
        <v>4.097336297855058</v>
      </c>
      <c r="E116" s="50">
        <v>5.361078392219353</v>
      </c>
      <c r="F116" s="50">
        <v>6.98599776209946</v>
      </c>
      <c r="G116" s="50">
        <v>5.900210680060773</v>
      </c>
      <c r="H116" s="50">
        <v>3.713408181654054</v>
      </c>
      <c r="I116" s="50">
        <v>3.62357165127364</v>
      </c>
      <c r="J116" s="50">
        <v>3.2955149796135434</v>
      </c>
      <c r="K116" s="50">
        <v>3.5441649375137456</v>
      </c>
      <c r="L116" s="50">
        <v>4.722187808787259</v>
      </c>
      <c r="M116" s="50">
        <v>1.4930208102268339</v>
      </c>
      <c r="N116" s="50">
        <v>3.203305430041683</v>
      </c>
      <c r="O116" s="50">
        <v>5.385848787812284</v>
      </c>
      <c r="P116" s="50">
        <v>2.914798206278027</v>
      </c>
      <c r="Q116" s="50">
        <v>3.0773590252196086</v>
      </c>
      <c r="R116" s="50">
        <v>3.2148664519156873</v>
      </c>
      <c r="S116" s="50">
        <v>1.185776903748539</v>
      </c>
      <c r="T116" s="50">
        <v>0.8561366220424058</v>
      </c>
      <c r="U116" s="50">
        <v>0.351572928328017</v>
      </c>
      <c r="V116" s="50">
        <v>1.3383991495859715</v>
      </c>
      <c r="W116" s="50">
        <v>0.9329714009262333</v>
      </c>
      <c r="X116" s="50">
        <v>2.0739189264209603</v>
      </c>
      <c r="Y116" s="50">
        <v>5.349908456084233</v>
      </c>
    </row>
    <row r="117" ht="14.25" customHeight="1">
      <c r="A117" s="51" t="s">
        <v>309</v>
      </c>
      <c r="B117" s="23">
        <v>2022.0</v>
      </c>
      <c r="C117" s="50">
        <v>9.185999011115765</v>
      </c>
      <c r="D117" s="50">
        <v>3.760069565018312</v>
      </c>
      <c r="E117" s="50">
        <v>6.585184068578931</v>
      </c>
      <c r="F117" s="50">
        <v>8.902924173126214</v>
      </c>
      <c r="G117" s="50">
        <v>7.108544204459806</v>
      </c>
      <c r="H117" s="50">
        <v>5.196503160096979</v>
      </c>
      <c r="I117" s="50">
        <v>6.817195019719977</v>
      </c>
      <c r="J117" s="50">
        <v>4.479406724576021</v>
      </c>
      <c r="K117" s="50">
        <v>5.497701634797659</v>
      </c>
      <c r="L117" s="50">
        <v>6.303122919628732</v>
      </c>
      <c r="M117" s="50">
        <v>3.6072246121537317</v>
      </c>
      <c r="N117" s="50">
        <v>1.773605888921232</v>
      </c>
      <c r="O117" s="50">
        <v>4.407274262659856</v>
      </c>
      <c r="P117" s="50">
        <v>6.636771300448431</v>
      </c>
      <c r="Q117" s="50">
        <v>6.81212808160952</v>
      </c>
      <c r="R117" s="50">
        <v>4.6474008291585545</v>
      </c>
      <c r="S117" s="50">
        <v>3.720398202337835</v>
      </c>
      <c r="T117" s="50">
        <v>2.8441539298782064</v>
      </c>
      <c r="U117" s="50">
        <v>4.8664717561738975</v>
      </c>
      <c r="V117" s="50">
        <v>3.753976602125318</v>
      </c>
      <c r="W117" s="50">
        <v>3.7962501226288143</v>
      </c>
      <c r="X117" s="50">
        <v>4.221825475893684</v>
      </c>
      <c r="Y117" s="50">
        <v>5.993032603877152</v>
      </c>
    </row>
    <row r="118" ht="14.25" hidden="1" customHeight="1">
      <c r="A118" s="49" t="s">
        <v>316</v>
      </c>
      <c r="B118" s="23">
        <v>2022.0</v>
      </c>
      <c r="C118" s="50">
        <v>6.71869697997964</v>
      </c>
      <c r="D118" s="50">
        <v>3.786651034814059</v>
      </c>
      <c r="E118" s="50">
        <v>5.195531625199486</v>
      </c>
      <c r="F118" s="50">
        <v>6.94879483917026</v>
      </c>
      <c r="G118" s="50">
        <v>5.662418619790861</v>
      </c>
      <c r="H118" s="50">
        <v>6.305051624886039</v>
      </c>
      <c r="I118" s="50">
        <v>4.7908414625417475</v>
      </c>
      <c r="J118" s="50">
        <v>4.6427938308810495</v>
      </c>
      <c r="K118" s="50">
        <v>5.246228972769612</v>
      </c>
      <c r="L118" s="50">
        <v>5.454323796280236</v>
      </c>
      <c r="M118" s="50">
        <v>4.47418215520333</v>
      </c>
      <c r="N118" s="50">
        <v>1.3036284098410402</v>
      </c>
      <c r="O118" s="50">
        <v>7.880968167634254</v>
      </c>
      <c r="P118" s="50">
        <v>7.040358744394619</v>
      </c>
      <c r="Q118" s="50">
        <v>3.2105412298101443</v>
      </c>
      <c r="R118" s="50">
        <v>4.781935741376677</v>
      </c>
      <c r="S118" s="50">
        <v>4.825679265432473</v>
      </c>
      <c r="T118" s="50">
        <v>3.1357472548809318</v>
      </c>
      <c r="U118" s="50">
        <v>1.7169282199610179</v>
      </c>
      <c r="V118" s="50">
        <v>1.1825281025294268</v>
      </c>
      <c r="W118" s="50">
        <v>2.7152207107009625</v>
      </c>
      <c r="X118" s="50">
        <v>3.74857822603882</v>
      </c>
      <c r="Y118" s="50">
        <v>5.683944627181694</v>
      </c>
    </row>
    <row r="119" ht="14.25" hidden="1" customHeight="1">
      <c r="A119" s="51" t="s">
        <v>333</v>
      </c>
      <c r="B119" s="23">
        <v>2022.0</v>
      </c>
      <c r="C119" s="50">
        <v>1.940956905327452</v>
      </c>
      <c r="D119" s="50">
        <v>0.0191958917722109</v>
      </c>
      <c r="E119" s="50">
        <v>1.6742755175033346</v>
      </c>
      <c r="F119" s="50">
        <v>1.4205083539374144</v>
      </c>
      <c r="G119" s="50">
        <v>1.263734167135103</v>
      </c>
      <c r="H119" s="50">
        <v>1.0114467044894444</v>
      </c>
      <c r="I119" s="50">
        <v>0.14146096463506214</v>
      </c>
      <c r="J119" s="50">
        <v>2.954558884358565</v>
      </c>
      <c r="K119" s="50">
        <v>1.3691555178276906</v>
      </c>
      <c r="L119" s="50">
        <v>1.3164448424813968</v>
      </c>
      <c r="M119" s="50">
        <v>0.0</v>
      </c>
      <c r="N119" s="50">
        <v>0.0</v>
      </c>
      <c r="O119" s="50">
        <v>0.0</v>
      </c>
      <c r="P119" s="50">
        <v>0.0</v>
      </c>
      <c r="Q119" s="50">
        <v>0.0</v>
      </c>
      <c r="R119" s="50">
        <v>0.0</v>
      </c>
      <c r="S119" s="50">
        <v>0.0</v>
      </c>
      <c r="T119" s="50">
        <v>0.0</v>
      </c>
      <c r="U119" s="50">
        <v>0.0</v>
      </c>
      <c r="V119" s="50">
        <v>0.0</v>
      </c>
      <c r="W119" s="50">
        <v>0.0</v>
      </c>
      <c r="X119" s="50">
        <v>0.0</v>
      </c>
      <c r="Y119" s="50">
        <v>2.9416428626212907</v>
      </c>
    </row>
    <row r="120" ht="14.25" hidden="1" customHeight="1">
      <c r="A120" s="49" t="s">
        <v>325</v>
      </c>
      <c r="B120" s="23">
        <v>2022.0</v>
      </c>
      <c r="C120" s="50">
        <v>4.428232100441126</v>
      </c>
      <c r="D120" s="50">
        <v>0.4856009106623422</v>
      </c>
      <c r="E120" s="50">
        <v>3.4016761782432896</v>
      </c>
      <c r="F120" s="50">
        <v>4.035059943602134</v>
      </c>
      <c r="G120" s="50">
        <v>3.087642283237223</v>
      </c>
      <c r="H120" s="50">
        <v>2.3987761383649224</v>
      </c>
      <c r="I120" s="50">
        <v>1.5109591151668522</v>
      </c>
      <c r="J120" s="50">
        <v>3.223128286946759</v>
      </c>
      <c r="K120" s="50">
        <v>2.3776211801595113</v>
      </c>
      <c r="L120" s="50">
        <v>2.7326317316983673</v>
      </c>
      <c r="M120" s="50">
        <v>0.8024274745826286</v>
      </c>
      <c r="N120" s="50">
        <v>0.0</v>
      </c>
      <c r="O120" s="50">
        <v>2.8680317227278147</v>
      </c>
      <c r="P120" s="50">
        <v>0.0</v>
      </c>
      <c r="Q120" s="50">
        <v>4.250495891187305</v>
      </c>
      <c r="R120" s="50">
        <v>1.5841910176995497</v>
      </c>
      <c r="S120" s="50">
        <v>0.0</v>
      </c>
      <c r="T120" s="50">
        <v>0.0</v>
      </c>
      <c r="U120" s="50">
        <v>0.0</v>
      </c>
      <c r="V120" s="50">
        <v>0.5032125010300171</v>
      </c>
      <c r="W120" s="50">
        <v>0.12580312525750428</v>
      </c>
      <c r="X120" s="50">
        <v>0.854997071478527</v>
      </c>
      <c r="Y120" s="50">
        <v>3.639154952786005</v>
      </c>
    </row>
    <row r="121" ht="14.25" hidden="1" customHeight="1">
      <c r="A121" s="51" t="s">
        <v>326</v>
      </c>
      <c r="B121" s="23">
        <v>2022.0</v>
      </c>
      <c r="C121" s="50">
        <v>4.631828978622329</v>
      </c>
      <c r="D121" s="50">
        <v>3.50933511241954</v>
      </c>
      <c r="E121" s="50">
        <v>1.6919229552164374</v>
      </c>
      <c r="F121" s="50">
        <v>4.688656358599991</v>
      </c>
      <c r="G121" s="50">
        <v>3.630435851214574</v>
      </c>
      <c r="H121" s="50">
        <v>1.8414507683358747</v>
      </c>
      <c r="I121" s="50">
        <v>1.255121067681195</v>
      </c>
      <c r="J121" s="50">
        <v>4.431838326537848</v>
      </c>
      <c r="K121" s="50">
        <v>2.5094700541849724</v>
      </c>
      <c r="L121" s="50">
        <v>3.069952952699773</v>
      </c>
      <c r="M121" s="50">
        <v>2.0733860981224272</v>
      </c>
      <c r="N121" s="50">
        <v>0.0</v>
      </c>
      <c r="O121" s="50">
        <v>4.61277320260828</v>
      </c>
      <c r="P121" s="50">
        <v>1.210762331838565</v>
      </c>
      <c r="Q121" s="50">
        <v>3.4344006800793423</v>
      </c>
      <c r="R121" s="50">
        <v>2.266264462529723</v>
      </c>
      <c r="S121" s="50">
        <v>0.7547424054509889</v>
      </c>
      <c r="T121" s="50">
        <v>4.9043487887566215</v>
      </c>
      <c r="U121" s="50">
        <v>1.342648841171929</v>
      </c>
      <c r="V121" s="50">
        <v>0.4707790354420066</v>
      </c>
      <c r="W121" s="50">
        <v>1.8681297677053865</v>
      </c>
      <c r="X121" s="50">
        <v>2.0671971151175548</v>
      </c>
      <c r="Y121" s="50">
        <v>3.91270247280413</v>
      </c>
    </row>
    <row r="122" ht="14.25" hidden="1" customHeight="1">
      <c r="A122" s="49" t="s">
        <v>330</v>
      </c>
      <c r="B122" s="23">
        <v>2022.0</v>
      </c>
      <c r="C122" s="50">
        <v>2.375296912114014</v>
      </c>
      <c r="D122" s="50">
        <v>0.10031664282034139</v>
      </c>
      <c r="E122" s="50">
        <v>4.870836422345268</v>
      </c>
      <c r="F122" s="50">
        <v>9.402323414408958</v>
      </c>
      <c r="G122" s="50">
        <v>4.187193347922146</v>
      </c>
      <c r="H122" s="50">
        <v>1.3330287649908799</v>
      </c>
      <c r="I122" s="50">
        <v>0.7595557879438207</v>
      </c>
      <c r="J122" s="50">
        <v>1.6882349465224844</v>
      </c>
      <c r="K122" s="50">
        <v>1.2602731664857283</v>
      </c>
      <c r="L122" s="50">
        <v>2.723733257203937</v>
      </c>
      <c r="M122" s="50">
        <v>0.9794293376621834</v>
      </c>
      <c r="N122" s="50">
        <v>0.0</v>
      </c>
      <c r="O122" s="50">
        <v>0.8573071289550515</v>
      </c>
      <c r="P122" s="50">
        <v>0.0</v>
      </c>
      <c r="Q122" s="50">
        <v>0.0</v>
      </c>
      <c r="R122" s="50">
        <v>0.36734729332344696</v>
      </c>
      <c r="S122" s="50">
        <v>0.0</v>
      </c>
      <c r="T122" s="50">
        <v>0.0</v>
      </c>
      <c r="U122" s="50">
        <v>0.0</v>
      </c>
      <c r="V122" s="50">
        <v>4.108870672560416</v>
      </c>
      <c r="W122" s="50">
        <v>1.027217668140104</v>
      </c>
      <c r="X122" s="50">
        <v>0.6972824807317755</v>
      </c>
      <c r="Y122" s="50">
        <v>4.2964999487570115</v>
      </c>
    </row>
    <row r="123" ht="14.25" hidden="1" customHeight="1">
      <c r="A123" s="51" t="s">
        <v>332</v>
      </c>
      <c r="B123" s="23">
        <v>2022.0</v>
      </c>
      <c r="C123" s="50">
        <v>0.9569053274516458</v>
      </c>
      <c r="D123" s="50">
        <v>0.9931602096385987</v>
      </c>
      <c r="E123" s="50">
        <v>3.287679734796043</v>
      </c>
      <c r="F123" s="50">
        <v>7.011186013235905</v>
      </c>
      <c r="G123" s="50">
        <v>3.0622328212805483</v>
      </c>
      <c r="H123" s="50">
        <v>1.9548232912850545</v>
      </c>
      <c r="I123" s="50">
        <v>1.222089650378325</v>
      </c>
      <c r="J123" s="50">
        <v>3.9393133605152753</v>
      </c>
      <c r="K123" s="50">
        <v>2.3720754340595516</v>
      </c>
      <c r="L123" s="50">
        <v>2.71715412767005</v>
      </c>
      <c r="M123" s="50">
        <v>0.0</v>
      </c>
      <c r="N123" s="50">
        <v>0.0</v>
      </c>
      <c r="O123" s="50">
        <v>0.2783867874434841</v>
      </c>
      <c r="P123" s="50">
        <v>0.0</v>
      </c>
      <c r="Q123" s="50">
        <v>0.0</v>
      </c>
      <c r="R123" s="50">
        <v>0.05567735748869682</v>
      </c>
      <c r="S123" s="50">
        <v>0.0</v>
      </c>
      <c r="T123" s="50">
        <v>0.0</v>
      </c>
      <c r="U123" s="50">
        <v>0.0</v>
      </c>
      <c r="V123" s="50">
        <v>0.0</v>
      </c>
      <c r="W123" s="50">
        <v>0.0</v>
      </c>
      <c r="X123" s="50">
        <v>0.02783867874434841</v>
      </c>
      <c r="Y123" s="50">
        <v>3.150992455807306</v>
      </c>
    </row>
    <row r="124" ht="14.25" hidden="1" customHeight="1">
      <c r="A124" s="49" t="s">
        <v>319</v>
      </c>
      <c r="B124" s="23">
        <v>2022.0</v>
      </c>
      <c r="C124" s="50">
        <v>6.4031218187987795</v>
      </c>
      <c r="D124" s="50">
        <v>3.9175714483221915</v>
      </c>
      <c r="E124" s="50">
        <v>2.5420701063615088</v>
      </c>
      <c r="F124" s="50">
        <v>5.761743067925732</v>
      </c>
      <c r="G124" s="50">
        <v>4.656126610352053</v>
      </c>
      <c r="H124" s="50">
        <v>2.427810146652141</v>
      </c>
      <c r="I124" s="50">
        <v>1.8750113734106035</v>
      </c>
      <c r="J124" s="50">
        <v>4.171246232937422</v>
      </c>
      <c r="K124" s="50">
        <v>2.824689251000056</v>
      </c>
      <c r="L124" s="50">
        <v>3.740407930676054</v>
      </c>
      <c r="M124" s="50">
        <v>3.6699065201630896</v>
      </c>
      <c r="N124" s="50">
        <v>4.009834285229321</v>
      </c>
      <c r="O124" s="50">
        <v>4.000523789832664</v>
      </c>
      <c r="P124" s="50">
        <v>3.4977578475336326</v>
      </c>
      <c r="Q124" s="50">
        <v>3.023519410597903</v>
      </c>
      <c r="R124" s="50">
        <v>3.640308370671322</v>
      </c>
      <c r="S124" s="50">
        <v>0.2968664079729724</v>
      </c>
      <c r="T124" s="50">
        <v>2.572067675628209</v>
      </c>
      <c r="U124" s="50">
        <v>0.7921656497019256</v>
      </c>
      <c r="V124" s="50">
        <v>1.4020298184116975</v>
      </c>
      <c r="W124" s="50">
        <v>1.2657823879287011</v>
      </c>
      <c r="X124" s="50">
        <v>2.4530453793000118</v>
      </c>
      <c r="Y124" s="50">
        <v>4.98530877379756</v>
      </c>
    </row>
    <row r="125" ht="14.25" hidden="1" customHeight="1">
      <c r="A125" s="51" t="s">
        <v>323</v>
      </c>
      <c r="B125" s="23">
        <v>2022.0</v>
      </c>
      <c r="C125" s="50">
        <v>4.865965388530709</v>
      </c>
      <c r="D125" s="50">
        <v>3.4727574280756803</v>
      </c>
      <c r="E125" s="50">
        <v>2.6461630843529136</v>
      </c>
      <c r="F125" s="50">
        <v>4.709029568346582</v>
      </c>
      <c r="G125" s="50">
        <v>3.9234788673264713</v>
      </c>
      <c r="H125" s="50">
        <v>1.6567513729133656</v>
      </c>
      <c r="I125" s="50">
        <v>2.9785688549310856</v>
      </c>
      <c r="J125" s="50">
        <v>4.220882822194647</v>
      </c>
      <c r="K125" s="50">
        <v>2.952067683346366</v>
      </c>
      <c r="L125" s="50">
        <v>3.4377732753364185</v>
      </c>
      <c r="M125" s="50">
        <v>2.0075339552712825</v>
      </c>
      <c r="N125" s="50">
        <v>0.0</v>
      </c>
      <c r="O125" s="50">
        <v>4.286552691761202</v>
      </c>
      <c r="P125" s="50">
        <v>6.09865470852018</v>
      </c>
      <c r="Q125" s="50">
        <v>6.202890337206007</v>
      </c>
      <c r="R125" s="50">
        <v>3.7191263385517344</v>
      </c>
      <c r="S125" s="50">
        <v>0.0</v>
      </c>
      <c r="T125" s="50">
        <v>0.0</v>
      </c>
      <c r="U125" s="50">
        <v>0.0</v>
      </c>
      <c r="V125" s="50">
        <v>0.5051586773998064</v>
      </c>
      <c r="W125" s="50">
        <v>0.1262896693499516</v>
      </c>
      <c r="X125" s="50">
        <v>1.9227080039508428</v>
      </c>
      <c r="Y125" s="50">
        <v>4.358645701622362</v>
      </c>
    </row>
    <row r="126" ht="14.25" customHeight="1">
      <c r="A126" s="49" t="s">
        <v>308</v>
      </c>
      <c r="B126" s="23">
        <v>2022.0</v>
      </c>
      <c r="C126" s="50">
        <v>9.284017645062775</v>
      </c>
      <c r="D126" s="50">
        <v>4.780563789870888</v>
      </c>
      <c r="E126" s="50">
        <v>6.602472093303974</v>
      </c>
      <c r="F126" s="50">
        <v>8.08764159311181</v>
      </c>
      <c r="G126" s="50">
        <v>7.188673780337362</v>
      </c>
      <c r="H126" s="50">
        <v>7.532948323936387</v>
      </c>
      <c r="I126" s="50">
        <v>10.0</v>
      </c>
      <c r="J126" s="50">
        <v>8.441470188500857</v>
      </c>
      <c r="K126" s="50">
        <v>8.658139504145748</v>
      </c>
      <c r="L126" s="50">
        <v>7.923406642241555</v>
      </c>
      <c r="M126" s="50">
        <v>10.0</v>
      </c>
      <c r="N126" s="50">
        <v>8.17893212785422</v>
      </c>
      <c r="O126" s="50">
        <v>10.0</v>
      </c>
      <c r="P126" s="50">
        <v>4.260089686098655</v>
      </c>
      <c r="Q126" s="50">
        <v>2.631056956644942</v>
      </c>
      <c r="R126" s="50">
        <v>7.014015754119564</v>
      </c>
      <c r="S126" s="50">
        <v>6.1772141340590725</v>
      </c>
      <c r="T126" s="50">
        <v>1.9114192652865822</v>
      </c>
      <c r="U126" s="50">
        <v>1.569850538004681</v>
      </c>
      <c r="V126" s="50">
        <v>2.909488625135591</v>
      </c>
      <c r="W126" s="50">
        <v>3.141993140621482</v>
      </c>
      <c r="X126" s="50">
        <v>5.078004447370523</v>
      </c>
      <c r="Y126" s="50">
        <v>6.346575507913528</v>
      </c>
    </row>
    <row r="127" ht="14.25" hidden="1" customHeight="1">
      <c r="A127" s="51" t="s">
        <v>321</v>
      </c>
      <c r="B127" s="23">
        <v>2022.0</v>
      </c>
      <c r="C127" s="50">
        <v>5.273159144893111</v>
      </c>
      <c r="D127" s="50">
        <v>4.169167809902411</v>
      </c>
      <c r="E127" s="50">
        <v>3.568183101189967</v>
      </c>
      <c r="F127" s="50">
        <v>5.824825841414483</v>
      </c>
      <c r="G127" s="50">
        <v>4.708833974349993</v>
      </c>
      <c r="H127" s="50">
        <v>2.3294805976862616</v>
      </c>
      <c r="I127" s="50">
        <v>1.973186653742428</v>
      </c>
      <c r="J127" s="50">
        <v>4.09088223128287</v>
      </c>
      <c r="K127" s="50">
        <v>2.79784982757052</v>
      </c>
      <c r="L127" s="50">
        <v>3.7533419009602564</v>
      </c>
      <c r="M127" s="50">
        <v>0.8179620006556829</v>
      </c>
      <c r="N127" s="50">
        <v>0.0</v>
      </c>
      <c r="O127" s="50">
        <v>1.8197639121787925</v>
      </c>
      <c r="P127" s="50">
        <v>3.2286995515695067</v>
      </c>
      <c r="Q127" s="50">
        <v>3.948710682913007</v>
      </c>
      <c r="R127" s="50">
        <v>1.9630272294633977</v>
      </c>
      <c r="S127" s="50">
        <v>0.297749950432011</v>
      </c>
      <c r="T127" s="50">
        <v>0.0</v>
      </c>
      <c r="U127" s="50">
        <v>0.0</v>
      </c>
      <c r="V127" s="50">
        <v>0.37144973822831</v>
      </c>
      <c r="W127" s="50">
        <v>0.16729992216508027</v>
      </c>
      <c r="X127" s="50">
        <v>1.065163575814239</v>
      </c>
      <c r="Y127" s="50">
        <v>4.217582446879167</v>
      </c>
    </row>
    <row r="128" ht="14.25" hidden="1" customHeight="1">
      <c r="A128" s="49" t="s">
        <v>317</v>
      </c>
      <c r="B128" s="23">
        <v>2022.0</v>
      </c>
      <c r="C128" s="50">
        <v>6.78316932473702</v>
      </c>
      <c r="D128" s="50">
        <v>5.03252283832467</v>
      </c>
      <c r="E128" s="50">
        <v>4.665988063552695</v>
      </c>
      <c r="F128" s="50">
        <v>8.692275294825553</v>
      </c>
      <c r="G128" s="50">
        <v>6.293488880359986</v>
      </c>
      <c r="H128" s="50">
        <v>1.647641922256532</v>
      </c>
      <c r="I128" s="50">
        <v>1.4585777352900855</v>
      </c>
      <c r="J128" s="50">
        <v>3.6580393547243393</v>
      </c>
      <c r="K128" s="50">
        <v>2.2547530040903188</v>
      </c>
      <c r="L128" s="50">
        <v>4.274120942225152</v>
      </c>
      <c r="M128" s="50">
        <v>0.5881031828553694</v>
      </c>
      <c r="N128" s="50">
        <v>0.0</v>
      </c>
      <c r="O128" s="50">
        <v>2.4022800644203595</v>
      </c>
      <c r="P128" s="50">
        <v>3.2286995515695067</v>
      </c>
      <c r="Q128" s="50">
        <v>2.452536129215075</v>
      </c>
      <c r="R128" s="50">
        <v>1.7343237856120621</v>
      </c>
      <c r="S128" s="50">
        <v>1.141749492217499</v>
      </c>
      <c r="T128" s="50">
        <v>1.2365229290547217</v>
      </c>
      <c r="U128" s="50">
        <v>1.0155575078085437</v>
      </c>
      <c r="V128" s="50">
        <v>1.0428335999143297</v>
      </c>
      <c r="W128" s="50">
        <v>1.1091658822487735</v>
      </c>
      <c r="X128" s="50">
        <v>1.421744833930418</v>
      </c>
      <c r="Y128" s="50">
        <v>4.796484747350575</v>
      </c>
    </row>
    <row r="129" ht="14.25" hidden="1" customHeight="1">
      <c r="A129" s="51" t="s">
        <v>322</v>
      </c>
      <c r="B129" s="23">
        <v>2022.0</v>
      </c>
      <c r="C129" s="50">
        <v>6.925687139463862</v>
      </c>
      <c r="D129" s="50">
        <v>3.196492508389185</v>
      </c>
      <c r="E129" s="50">
        <v>4.396156695410594</v>
      </c>
      <c r="F129" s="50">
        <v>6.865832362334837</v>
      </c>
      <c r="G129" s="50">
        <v>5.346042176399619</v>
      </c>
      <c r="H129" s="50">
        <v>2.0466712673913565</v>
      </c>
      <c r="I129" s="50">
        <v>1.9145028879364205</v>
      </c>
      <c r="J129" s="50">
        <v>2.5607161850735687</v>
      </c>
      <c r="K129" s="50">
        <v>2.1739634468004487</v>
      </c>
      <c r="L129" s="50">
        <v>3.760002811600034</v>
      </c>
      <c r="M129" s="50">
        <v>0.2979897184536719</v>
      </c>
      <c r="N129" s="50">
        <v>0.0</v>
      </c>
      <c r="O129" s="50">
        <v>0.9129198509450254</v>
      </c>
      <c r="P129" s="50">
        <v>0.0</v>
      </c>
      <c r="Q129" s="50">
        <v>0.0</v>
      </c>
      <c r="R129" s="50">
        <v>0.24218191387973945</v>
      </c>
      <c r="S129" s="50">
        <v>0.0</v>
      </c>
      <c r="T129" s="50">
        <v>1.879624852741921</v>
      </c>
      <c r="U129" s="50">
        <v>2.3156066331800838</v>
      </c>
      <c r="V129" s="50">
        <v>0.902146251501626</v>
      </c>
      <c r="W129" s="50">
        <v>1.2743444343559076</v>
      </c>
      <c r="X129" s="50">
        <v>0.7582631741178236</v>
      </c>
      <c r="Y129" s="50">
        <v>4.30384884910467</v>
      </c>
    </row>
    <row r="130" ht="14.25" customHeight="1">
      <c r="A130" s="49" t="s">
        <v>315</v>
      </c>
      <c r="B130" s="23">
        <v>2023.0</v>
      </c>
      <c r="C130" s="50">
        <v>7.421106209704785</v>
      </c>
      <c r="D130" s="50">
        <v>7.925317208428022</v>
      </c>
      <c r="E130" s="50">
        <v>6.419454579794813</v>
      </c>
      <c r="F130" s="50">
        <v>7.756979479155669</v>
      </c>
      <c r="G130" s="54">
        <v>7.380714369270822</v>
      </c>
      <c r="H130" s="50">
        <v>4.304025786558522</v>
      </c>
      <c r="I130" s="50">
        <v>6.530642697785128</v>
      </c>
      <c r="J130" s="50">
        <v>7.386397210896414</v>
      </c>
      <c r="K130" s="54">
        <v>6.073688565080021</v>
      </c>
      <c r="L130" s="50">
        <v>6.727201467175421</v>
      </c>
      <c r="M130" s="50">
        <v>9.319794351064782</v>
      </c>
      <c r="N130" s="50">
        <v>7.498425586354159</v>
      </c>
      <c r="O130" s="50">
        <v>9.100201906040343</v>
      </c>
      <c r="P130" s="50">
        <v>3.452914798206278</v>
      </c>
      <c r="Q130" s="50">
        <v>5.358458486823463</v>
      </c>
      <c r="R130" s="54">
        <v>6.945959025697805</v>
      </c>
      <c r="S130" s="50">
        <v>4.934602747878968</v>
      </c>
      <c r="T130" s="50">
        <v>7.348289219342893</v>
      </c>
      <c r="U130" s="50">
        <v>3.84055459622941</v>
      </c>
      <c r="V130" s="50">
        <v>3.8154545775288176</v>
      </c>
      <c r="W130" s="54">
        <v>4.9847252852450215</v>
      </c>
      <c r="X130" s="50">
        <v>5.965342155471413</v>
      </c>
      <c r="Y130" s="50">
        <v>6.248357890238219</v>
      </c>
    </row>
    <row r="131" ht="14.25" customHeight="1">
      <c r="A131" s="51" t="s">
        <v>305</v>
      </c>
      <c r="B131" s="23">
        <v>2023.0</v>
      </c>
      <c r="C131" s="50">
        <v>9.694604682728198</v>
      </c>
      <c r="D131" s="50">
        <v>8.968896746250847</v>
      </c>
      <c r="E131" s="50">
        <v>8.465206946788257</v>
      </c>
      <c r="F131" s="50">
        <v>8.906196247725276</v>
      </c>
      <c r="G131" s="54">
        <v>9.008726155873145</v>
      </c>
      <c r="H131" s="50">
        <v>7.513563930234319</v>
      </c>
      <c r="I131" s="50">
        <v>6.777779327931519</v>
      </c>
      <c r="J131" s="50">
        <v>7.397329078768539</v>
      </c>
      <c r="K131" s="54">
        <v>7.229557445644792</v>
      </c>
      <c r="L131" s="50">
        <v>8.11914180075897</v>
      </c>
      <c r="M131" s="50">
        <v>4.7702044051917465</v>
      </c>
      <c r="N131" s="50">
        <v>7.098167509296581</v>
      </c>
      <c r="O131" s="50">
        <v>6.716183733002907</v>
      </c>
      <c r="P131" s="50">
        <v>6.681614349775785</v>
      </c>
      <c r="Q131" s="50">
        <v>3.6299234910739586</v>
      </c>
      <c r="R131" s="54">
        <v>5.779218697668195</v>
      </c>
      <c r="S131" s="50">
        <v>5.092149897598153</v>
      </c>
      <c r="T131" s="50">
        <v>6.5736833676596405</v>
      </c>
      <c r="U131" s="50">
        <v>3.7140583793611097</v>
      </c>
      <c r="V131" s="50">
        <v>8.25168742680431</v>
      </c>
      <c r="W131" s="54">
        <v>5.907894767855804</v>
      </c>
      <c r="X131" s="50">
        <v>5.843556732762</v>
      </c>
      <c r="Y131" s="50">
        <v>7.313102204826668</v>
      </c>
    </row>
    <row r="132" ht="14.25" customHeight="1">
      <c r="A132" s="51" t="s">
        <v>307</v>
      </c>
      <c r="B132" s="23">
        <v>2023.0</v>
      </c>
      <c r="C132" s="50">
        <v>9.728537495758399</v>
      </c>
      <c r="D132" s="50">
        <v>9.325834661123881</v>
      </c>
      <c r="E132" s="50">
        <v>5.565774886114778</v>
      </c>
      <c r="F132" s="50">
        <v>7.505606796217216</v>
      </c>
      <c r="G132" s="54">
        <v>8.031438459803567</v>
      </c>
      <c r="H132" s="50">
        <v>3.9631358227215108</v>
      </c>
      <c r="I132" s="50">
        <v>4.351069585862274</v>
      </c>
      <c r="J132" s="50">
        <v>7.304260473911245</v>
      </c>
      <c r="K132" s="54">
        <v>5.20615529416501</v>
      </c>
      <c r="L132" s="50">
        <v>6.618796876984289</v>
      </c>
      <c r="M132" s="50">
        <v>5.212176730946849</v>
      </c>
      <c r="N132" s="50">
        <v>4.5325427248910515</v>
      </c>
      <c r="O132" s="50">
        <v>6.6811875966575</v>
      </c>
      <c r="P132" s="50">
        <v>4.84304932735426</v>
      </c>
      <c r="Q132" s="50">
        <v>3.828279965996033</v>
      </c>
      <c r="R132" s="54">
        <v>5.019447269169138</v>
      </c>
      <c r="S132" s="50">
        <v>3.8628983730399646</v>
      </c>
      <c r="T132" s="50">
        <v>3.2116116689160017</v>
      </c>
      <c r="U132" s="50">
        <v>4.928333927307545</v>
      </c>
      <c r="V132" s="50">
        <v>9.249845254329301</v>
      </c>
      <c r="W132" s="54">
        <v>5.3131723058982026</v>
      </c>
      <c r="X132" s="50">
        <v>5.16630978753367</v>
      </c>
      <c r="Y132" s="50">
        <v>6.771603368509888</v>
      </c>
    </row>
    <row r="133" ht="14.25" customHeight="1">
      <c r="A133" s="49" t="s">
        <v>308</v>
      </c>
      <c r="B133" s="23">
        <v>2023.0</v>
      </c>
      <c r="C133" s="50">
        <v>9.491007804546998</v>
      </c>
      <c r="D133" s="50">
        <v>7.271482351273521</v>
      </c>
      <c r="E133" s="50">
        <v>5.006245473235305</v>
      </c>
      <c r="F133" s="50">
        <v>7.113753603188309</v>
      </c>
      <c r="G133" s="54">
        <v>7.220622308061033</v>
      </c>
      <c r="H133" s="50">
        <v>8.405722331058902</v>
      </c>
      <c r="I133" s="50">
        <v>8.453595271572782</v>
      </c>
      <c r="J133" s="50">
        <v>8.019559179814454</v>
      </c>
      <c r="K133" s="54">
        <v>8.292958927482047</v>
      </c>
      <c r="L133" s="50">
        <v>7.756790617771541</v>
      </c>
      <c r="M133" s="50">
        <v>9.89906417840529</v>
      </c>
      <c r="N133" s="50">
        <v>8.129861551545636</v>
      </c>
      <c r="O133" s="50">
        <v>9.939701042205341</v>
      </c>
      <c r="P133" s="50">
        <v>3.811659192825112</v>
      </c>
      <c r="Q133" s="50">
        <v>3.2558798526494757</v>
      </c>
      <c r="R133" s="54">
        <v>7.007233163526171</v>
      </c>
      <c r="S133" s="50">
        <v>2.620655963862987</v>
      </c>
      <c r="T133" s="50">
        <v>3.7842523957824326</v>
      </c>
      <c r="U133" s="50">
        <v>1.5540051226212412</v>
      </c>
      <c r="V133" s="50">
        <v>3.4509563471460654</v>
      </c>
      <c r="W133" s="54">
        <v>2.852467457353182</v>
      </c>
      <c r="X133" s="50">
        <v>4.929850310439676</v>
      </c>
      <c r="Y133" s="50">
        <v>6.494621772278322</v>
      </c>
    </row>
    <row r="134" ht="14.25" hidden="1" customHeight="1">
      <c r="A134" s="51" t="s">
        <v>306</v>
      </c>
      <c r="B134" s="23">
        <v>2023.0</v>
      </c>
      <c r="C134" s="50">
        <v>10.0</v>
      </c>
      <c r="D134" s="50">
        <v>7.721641622551302</v>
      </c>
      <c r="E134" s="50">
        <v>5.671957338035817</v>
      </c>
      <c r="F134" s="50">
        <v>7.634906565501335</v>
      </c>
      <c r="G134" s="54">
        <v>7.757126381522114</v>
      </c>
      <c r="H134" s="50">
        <v>5.09865542158395</v>
      </c>
      <c r="I134" s="50">
        <v>5.312532224663377</v>
      </c>
      <c r="J134" s="50">
        <v>2.790285410388229</v>
      </c>
      <c r="K134" s="54">
        <v>4.400491018878519</v>
      </c>
      <c r="L134" s="50">
        <v>6.078808700200316</v>
      </c>
      <c r="M134" s="50">
        <v>1.7987892724538843</v>
      </c>
      <c r="N134" s="50">
        <v>0.0</v>
      </c>
      <c r="O134" s="50">
        <v>4.933444129200364</v>
      </c>
      <c r="P134" s="50">
        <v>3.6771300448430493</v>
      </c>
      <c r="Q134" s="50">
        <v>3.2204590535562483</v>
      </c>
      <c r="R134" s="54">
        <v>2.725964500010709</v>
      </c>
      <c r="S134" s="50">
        <v>8.381250630716963</v>
      </c>
      <c r="T134" s="50">
        <v>10.0</v>
      </c>
      <c r="U134" s="50">
        <v>2.795592004047591</v>
      </c>
      <c r="V134" s="50">
        <v>3.671976698125521</v>
      </c>
      <c r="W134" s="54">
        <v>6.2122048332225175</v>
      </c>
      <c r="X134" s="50">
        <v>4.469084666616613</v>
      </c>
      <c r="Y134" s="50">
        <v>5.717065748919772</v>
      </c>
    </row>
    <row r="135" ht="14.25" customHeight="1">
      <c r="A135" s="49" t="s">
        <v>310</v>
      </c>
      <c r="B135" s="23">
        <v>2023.0</v>
      </c>
      <c r="C135" s="50">
        <v>8.608754665761792</v>
      </c>
      <c r="D135" s="50">
        <v>8.333252184749353</v>
      </c>
      <c r="E135" s="50">
        <v>6.008749606403418</v>
      </c>
      <c r="F135" s="50">
        <v>8.446211203377072</v>
      </c>
      <c r="G135" s="54">
        <v>7.849241915072909</v>
      </c>
      <c r="H135" s="50">
        <v>3.8289102121775738</v>
      </c>
      <c r="I135" s="50">
        <v>4.1742782585276315</v>
      </c>
      <c r="J135" s="50">
        <v>5.509956863440289</v>
      </c>
      <c r="K135" s="54">
        <v>4.504381778048498</v>
      </c>
      <c r="L135" s="50">
        <v>6.176811846560703</v>
      </c>
      <c r="M135" s="50">
        <v>4.435380930368553</v>
      </c>
      <c r="N135" s="50">
        <v>2.3261814337684585</v>
      </c>
      <c r="O135" s="50">
        <v>6.612313316402768</v>
      </c>
      <c r="P135" s="50">
        <v>3.6771300448430493</v>
      </c>
      <c r="Q135" s="50">
        <v>3.2728818362142253</v>
      </c>
      <c r="R135" s="54">
        <v>4.064777512319411</v>
      </c>
      <c r="S135" s="50">
        <v>8.856919116825674</v>
      </c>
      <c r="T135" s="50">
        <v>3.9967113493329838</v>
      </c>
      <c r="U135" s="50">
        <v>2.5165856290972544</v>
      </c>
      <c r="V135" s="50">
        <v>3.6812414664266035</v>
      </c>
      <c r="W135" s="54">
        <v>4.762864390420629</v>
      </c>
      <c r="X135" s="50">
        <v>4.41382095137002</v>
      </c>
      <c r="Y135" s="50">
        <v>6.230501857102796</v>
      </c>
    </row>
    <row r="136" ht="14.25" hidden="1" customHeight="1">
      <c r="A136" s="49" t="s">
        <v>316</v>
      </c>
      <c r="B136" s="23">
        <v>2023.0</v>
      </c>
      <c r="C136" s="50">
        <v>7.081778079402783</v>
      </c>
      <c r="D136" s="50">
        <v>5.879827403204078</v>
      </c>
      <c r="E136" s="50">
        <v>4.752093365794877</v>
      </c>
      <c r="F136" s="50">
        <v>7.097218451228466</v>
      </c>
      <c r="G136" s="54">
        <v>6.202729324907552</v>
      </c>
      <c r="H136" s="50">
        <v>6.811849587923922</v>
      </c>
      <c r="I136" s="50">
        <v>6.35798522609127</v>
      </c>
      <c r="J136" s="50">
        <v>4.361519825090115</v>
      </c>
      <c r="K136" s="54">
        <v>5.843784879701769</v>
      </c>
      <c r="L136" s="50">
        <v>6.02325710230466</v>
      </c>
      <c r="M136" s="50">
        <v>4.427511974545259</v>
      </c>
      <c r="N136" s="50">
        <v>1.290030265803136</v>
      </c>
      <c r="O136" s="50">
        <v>7.798761812285882</v>
      </c>
      <c r="P136" s="50">
        <v>4.753363228699552</v>
      </c>
      <c r="Q136" s="50">
        <v>3.981297818078776</v>
      </c>
      <c r="R136" s="54">
        <v>4.450193019882521</v>
      </c>
      <c r="S136" s="50">
        <v>2.865205571682328</v>
      </c>
      <c r="T136" s="50">
        <v>5.1717304744311825</v>
      </c>
      <c r="U136" s="50">
        <v>2.1237736835522907</v>
      </c>
      <c r="V136" s="50">
        <v>1.7091912149071016</v>
      </c>
      <c r="W136" s="54">
        <v>2.9674752361432253</v>
      </c>
      <c r="X136" s="50">
        <v>3.7088341280128736</v>
      </c>
      <c r="Y136" s="50">
        <v>5.85615690870501</v>
      </c>
    </row>
    <row r="137" ht="14.25" hidden="1" customHeight="1">
      <c r="A137" s="51" t="s">
        <v>311</v>
      </c>
      <c r="B137" s="23">
        <v>2023.0</v>
      </c>
      <c r="C137" s="50">
        <v>8.473023413640991</v>
      </c>
      <c r="D137" s="50">
        <v>8.04056650919009</v>
      </c>
      <c r="E137" s="50">
        <v>5.8883365054276995</v>
      </c>
      <c r="F137" s="50">
        <v>8.628849365487572</v>
      </c>
      <c r="G137" s="54">
        <v>7.757693948436588</v>
      </c>
      <c r="H137" s="50">
        <v>2.4281815586378896</v>
      </c>
      <c r="I137" s="50">
        <v>2.6784351642805753</v>
      </c>
      <c r="J137" s="50">
        <v>5.049636589257225</v>
      </c>
      <c r="K137" s="54">
        <v>3.3854177707252298</v>
      </c>
      <c r="L137" s="50">
        <v>5.571555859580909</v>
      </c>
      <c r="M137" s="50">
        <v>3.787201302824789</v>
      </c>
      <c r="N137" s="50">
        <v>2.7250201641431855</v>
      </c>
      <c r="O137" s="50">
        <v>4.918576990645478</v>
      </c>
      <c r="P137" s="50">
        <v>5.291479820627803</v>
      </c>
      <c r="Q137" s="50">
        <v>4.329838481156135</v>
      </c>
      <c r="R137" s="54">
        <v>4.210423351879478</v>
      </c>
      <c r="S137" s="50">
        <v>1.8829601530221836</v>
      </c>
      <c r="T137" s="50">
        <v>2.7675663514631497</v>
      </c>
      <c r="U137" s="50">
        <v>2.751532354941211</v>
      </c>
      <c r="V137" s="50">
        <v>5.27733884349503</v>
      </c>
      <c r="W137" s="54">
        <v>3.1698494257303933</v>
      </c>
      <c r="X137" s="50">
        <v>3.6901363888049357</v>
      </c>
      <c r="Y137" s="50">
        <v>6.262824536182614</v>
      </c>
    </row>
    <row r="138" ht="14.25" customHeight="1">
      <c r="A138" s="51" t="s">
        <v>309</v>
      </c>
      <c r="B138" s="23">
        <v>2023.0</v>
      </c>
      <c r="C138" s="50">
        <v>8.506956226671193</v>
      </c>
      <c r="D138" s="50">
        <v>7.266277031816173</v>
      </c>
      <c r="E138" s="50">
        <v>5.532947332282284</v>
      </c>
      <c r="F138" s="50">
        <v>7.592008566481002</v>
      </c>
      <c r="G138" s="54">
        <v>7.224547289312663</v>
      </c>
      <c r="H138" s="50">
        <v>5.078159946166554</v>
      </c>
      <c r="I138" s="50">
        <v>6.517931774094342</v>
      </c>
      <c r="J138" s="50">
        <v>4.062518465993027</v>
      </c>
      <c r="K138" s="54">
        <v>5.219536728751307</v>
      </c>
      <c r="L138" s="50">
        <v>6.222042009031985</v>
      </c>
      <c r="M138" s="50">
        <v>3.6003804362832987</v>
      </c>
      <c r="N138" s="50">
        <v>1.7702407337302541</v>
      </c>
      <c r="O138" s="50">
        <v>4.398912110754692</v>
      </c>
      <c r="P138" s="50">
        <v>3.991031390134529</v>
      </c>
      <c r="Q138" s="50">
        <v>4.657126664777557</v>
      </c>
      <c r="R138" s="54">
        <v>3.6835382671360666</v>
      </c>
      <c r="S138" s="50">
        <v>2.18431723311597</v>
      </c>
      <c r="T138" s="50">
        <v>3.3118838292312884</v>
      </c>
      <c r="U138" s="50">
        <v>4.46865927726556</v>
      </c>
      <c r="V138" s="50">
        <v>4.398903900483119</v>
      </c>
      <c r="W138" s="54">
        <v>3.5909410600239844</v>
      </c>
      <c r="X138" s="50">
        <v>3.6372396635800253</v>
      </c>
      <c r="Y138" s="50">
        <v>6.149652672727877</v>
      </c>
    </row>
    <row r="139" ht="14.25" hidden="1" customHeight="1">
      <c r="A139" s="49" t="s">
        <v>320</v>
      </c>
      <c r="B139" s="23">
        <v>2023.0</v>
      </c>
      <c r="C139" s="50">
        <v>6.979979640312183</v>
      </c>
      <c r="D139" s="50">
        <v>7.314187347610524</v>
      </c>
      <c r="E139" s="50">
        <v>4.92120869609276</v>
      </c>
      <c r="F139" s="50">
        <v>7.072082268884683</v>
      </c>
      <c r="G139" s="54">
        <v>6.571864488225037</v>
      </c>
      <c r="H139" s="50">
        <v>2.677587072749554</v>
      </c>
      <c r="I139" s="50">
        <v>3.632006172577402</v>
      </c>
      <c r="J139" s="50">
        <v>5.5486615848253855</v>
      </c>
      <c r="K139" s="54">
        <v>3.9527516100507802</v>
      </c>
      <c r="L139" s="50">
        <v>5.262308049137908</v>
      </c>
      <c r="M139" s="50">
        <v>3.839719343127031</v>
      </c>
      <c r="N139" s="50">
        <v>4.815562183405974</v>
      </c>
      <c r="O139" s="50">
        <v>5.4798193272643925</v>
      </c>
      <c r="P139" s="50">
        <v>5.47085201793722</v>
      </c>
      <c r="Q139" s="50">
        <v>2.768489657126665</v>
      </c>
      <c r="R139" s="54">
        <v>4.474888505772256</v>
      </c>
      <c r="S139" s="50">
        <v>2.592859175841267</v>
      </c>
      <c r="T139" s="50">
        <v>3.1590958219517744</v>
      </c>
      <c r="U139" s="50">
        <v>1.4414269617944444</v>
      </c>
      <c r="V139" s="50">
        <v>3.417561702598777</v>
      </c>
      <c r="W139" s="54">
        <v>2.6527359155465655</v>
      </c>
      <c r="X139" s="50">
        <v>3.5638122106594103</v>
      </c>
      <c r="Y139" s="50">
        <v>5.957955857403755</v>
      </c>
    </row>
    <row r="140" ht="14.25" hidden="1" customHeight="1">
      <c r="A140" s="51" t="s">
        <v>313</v>
      </c>
      <c r="B140" s="23">
        <v>2023.0</v>
      </c>
      <c r="C140" s="50">
        <v>9.389209365456399</v>
      </c>
      <c r="D140" s="50">
        <v>7.164127237110439</v>
      </c>
      <c r="E140" s="50">
        <v>5.427664875327731</v>
      </c>
      <c r="F140" s="50">
        <v>8.097822560658837</v>
      </c>
      <c r="G140" s="54">
        <v>7.519706009638352</v>
      </c>
      <c r="H140" s="50">
        <v>3.437328032209226</v>
      </c>
      <c r="I140" s="50">
        <v>5.099446069409953</v>
      </c>
      <c r="J140" s="50">
        <v>4.267564852567512</v>
      </c>
      <c r="K140" s="54">
        <v>4.268112984728896</v>
      </c>
      <c r="L140" s="50">
        <v>5.893909497183624</v>
      </c>
      <c r="M140" s="50">
        <v>2.040570785811594</v>
      </c>
      <c r="N140" s="50">
        <v>0.0</v>
      </c>
      <c r="O140" s="50">
        <v>4.152770668402935</v>
      </c>
      <c r="P140" s="50">
        <v>4.9775784753363235</v>
      </c>
      <c r="Q140" s="50">
        <v>2.6409747803910455</v>
      </c>
      <c r="R140" s="54">
        <v>2.7623789419883797</v>
      </c>
      <c r="S140" s="50">
        <v>2.079832045444462</v>
      </c>
      <c r="T140" s="50">
        <v>3.21781870754954</v>
      </c>
      <c r="U140" s="50">
        <v>7.110716127776437</v>
      </c>
      <c r="V140" s="50">
        <v>3.3271366934400577</v>
      </c>
      <c r="W140" s="54">
        <v>3.9338758935526243</v>
      </c>
      <c r="X140" s="50">
        <v>3.3481274177705025</v>
      </c>
      <c r="Y140" s="50">
        <v>5.375856660715266</v>
      </c>
    </row>
    <row r="141" ht="14.25" hidden="1" customHeight="1">
      <c r="A141" s="51" t="s">
        <v>312</v>
      </c>
      <c r="B141" s="23">
        <v>2023.0</v>
      </c>
      <c r="C141" s="50">
        <v>8.710553104852393</v>
      </c>
      <c r="D141" s="50">
        <v>5.564633964628236</v>
      </c>
      <c r="E141" s="50">
        <v>3.9475935960730513</v>
      </c>
      <c r="F141" s="50">
        <v>7.0380425196470275</v>
      </c>
      <c r="G141" s="54">
        <v>6.315205796300177</v>
      </c>
      <c r="H141" s="50">
        <v>3.312036417615479</v>
      </c>
      <c r="I141" s="50">
        <v>3.472796621581456</v>
      </c>
      <c r="J141" s="50">
        <v>3.0951958872540337</v>
      </c>
      <c r="K141" s="54">
        <v>3.293342975483657</v>
      </c>
      <c r="L141" s="50">
        <v>4.804274385891917</v>
      </c>
      <c r="M141" s="50">
        <v>1.7591245468581354</v>
      </c>
      <c r="N141" s="50">
        <v>0.0</v>
      </c>
      <c r="O141" s="50">
        <v>4.170249415855744</v>
      </c>
      <c r="P141" s="50">
        <v>4.618834080717489</v>
      </c>
      <c r="Q141" s="50">
        <v>3.5973363559081895</v>
      </c>
      <c r="R141" s="54">
        <v>2.8291088798679116</v>
      </c>
      <c r="S141" s="50">
        <v>3.415182261675591</v>
      </c>
      <c r="T141" s="50">
        <v>3.698667003793486</v>
      </c>
      <c r="U141" s="50">
        <v>1.139144579224775</v>
      </c>
      <c r="V141" s="50">
        <v>1.9020162652731765</v>
      </c>
      <c r="W141" s="54">
        <v>2.5387525274917566</v>
      </c>
      <c r="X141" s="50">
        <v>2.6839307036798346</v>
      </c>
      <c r="Y141" s="50">
        <v>5.449504457301569</v>
      </c>
    </row>
    <row r="142" ht="14.25" hidden="1" customHeight="1">
      <c r="A142" s="49" t="s">
        <v>319</v>
      </c>
      <c r="B142" s="23">
        <v>2023.0</v>
      </c>
      <c r="C142" s="50">
        <v>6.53885307091958</v>
      </c>
      <c r="D142" s="50">
        <v>6.877598174896788</v>
      </c>
      <c r="E142" s="50">
        <v>1.9330835993851894</v>
      </c>
      <c r="F142" s="50">
        <v>5.689549370076748</v>
      </c>
      <c r="G142" s="54">
        <v>5.259771053819576</v>
      </c>
      <c r="H142" s="50">
        <v>2.181740243367901</v>
      </c>
      <c r="I142" s="50">
        <v>2.3612989830047884</v>
      </c>
      <c r="J142" s="50">
        <v>4.136382438101991</v>
      </c>
      <c r="K142" s="54">
        <v>2.8931405548248934</v>
      </c>
      <c r="L142" s="50">
        <v>4.076455804322235</v>
      </c>
      <c r="M142" s="50">
        <v>3.6163643726549366</v>
      </c>
      <c r="N142" s="50">
        <v>3.951332757301177</v>
      </c>
      <c r="O142" s="50">
        <v>3.9421580974946546</v>
      </c>
      <c r="P142" s="50">
        <v>3.452914798206278</v>
      </c>
      <c r="Q142" s="50">
        <v>3.200623406064041</v>
      </c>
      <c r="R142" s="54">
        <v>3.6326786863442173</v>
      </c>
      <c r="S142" s="50">
        <v>0.0</v>
      </c>
      <c r="T142" s="50">
        <v>2.5345424618025127</v>
      </c>
      <c r="U142" s="50">
        <v>0.5204055593030537</v>
      </c>
      <c r="V142" s="50">
        <v>1.9072684756306189</v>
      </c>
      <c r="W142" s="54">
        <v>1.240554124184046</v>
      </c>
      <c r="X142" s="50">
        <v>2.436616405264132</v>
      </c>
      <c r="Y142" s="50">
        <v>5.224852439022689</v>
      </c>
    </row>
    <row r="143" ht="14.25" hidden="1" customHeight="1">
      <c r="A143" s="49" t="s">
        <v>318</v>
      </c>
      <c r="B143" s="23">
        <v>2023.0</v>
      </c>
      <c r="C143" s="50">
        <v>6.267390566677978</v>
      </c>
      <c r="D143" s="50">
        <v>7.5945615339051535</v>
      </c>
      <c r="E143" s="50">
        <v>2.9547407289928893</v>
      </c>
      <c r="F143" s="50">
        <v>6.446753636525009</v>
      </c>
      <c r="G143" s="54">
        <v>5.8158616165252575</v>
      </c>
      <c r="H143" s="50">
        <v>2.240638614127038</v>
      </c>
      <c r="I143" s="50">
        <v>3.065458679034467</v>
      </c>
      <c r="J143" s="50">
        <v>4.015245523843291</v>
      </c>
      <c r="K143" s="54">
        <v>3.1071142723349316</v>
      </c>
      <c r="L143" s="50">
        <v>4.461487944430095</v>
      </c>
      <c r="M143" s="50">
        <v>2.586693925842782</v>
      </c>
      <c r="N143" s="50">
        <v>1.2458740416424812</v>
      </c>
      <c r="O143" s="50">
        <v>4.304996941040872</v>
      </c>
      <c r="P143" s="50">
        <v>0.0</v>
      </c>
      <c r="Q143" s="50">
        <v>5.505809011051289</v>
      </c>
      <c r="R143" s="54">
        <v>2.7286747839154852</v>
      </c>
      <c r="S143" s="50">
        <v>1.2298368634720138</v>
      </c>
      <c r="T143" s="50">
        <v>0.665961093499744</v>
      </c>
      <c r="U143" s="50">
        <v>2.5980339057789372</v>
      </c>
      <c r="V143" s="50">
        <v>1.9155282139099825</v>
      </c>
      <c r="W143" s="54">
        <v>1.6023400191651693</v>
      </c>
      <c r="X143" s="50">
        <v>2.165507401540327</v>
      </c>
      <c r="Y143" s="50">
        <v>5.519603949249091</v>
      </c>
    </row>
    <row r="144" ht="14.25" hidden="1" customHeight="1">
      <c r="A144" s="49" t="s">
        <v>314</v>
      </c>
      <c r="B144" s="23">
        <v>2023.0</v>
      </c>
      <c r="C144" s="50">
        <v>7.319307770614184</v>
      </c>
      <c r="D144" s="50">
        <v>6.2730695319834915</v>
      </c>
      <c r="E144" s="50">
        <v>5.416767417918775</v>
      </c>
      <c r="F144" s="50">
        <v>7.116845501847685</v>
      </c>
      <c r="G144" s="54">
        <v>6.5314975555910335</v>
      </c>
      <c r="H144" s="50">
        <v>3.7787904909542065</v>
      </c>
      <c r="I144" s="50">
        <v>4.395519907411339</v>
      </c>
      <c r="J144" s="50">
        <v>3.1734916976895358</v>
      </c>
      <c r="K144" s="54">
        <v>3.7826006986850276</v>
      </c>
      <c r="L144" s="50">
        <v>5.1570491271380305</v>
      </c>
      <c r="M144" s="50">
        <v>1.4834124305960292</v>
      </c>
      <c r="N144" s="50">
        <v>3.182690463100544</v>
      </c>
      <c r="O144" s="50">
        <v>5.351187998469672</v>
      </c>
      <c r="P144" s="50">
        <v>2.2421524663677133</v>
      </c>
      <c r="Q144" s="50">
        <v>2.938509492774157</v>
      </c>
      <c r="R144" s="54">
        <v>3.039590570261623</v>
      </c>
      <c r="S144" s="50">
        <v>1.9635763356250102</v>
      </c>
      <c r="T144" s="50">
        <v>0.8506269294620536</v>
      </c>
      <c r="U144" s="50">
        <v>0.3493103703381012</v>
      </c>
      <c r="V144" s="50">
        <v>1.9188576407622684</v>
      </c>
      <c r="W144" s="54">
        <v>1.2705928190468585</v>
      </c>
      <c r="X144" s="50">
        <v>2.1550916946542404</v>
      </c>
      <c r="Y144" s="50">
        <v>5.4427108061323555</v>
      </c>
    </row>
    <row r="145" ht="14.25" hidden="1" customHeight="1">
      <c r="A145" s="49" t="s">
        <v>328</v>
      </c>
      <c r="B145" s="23">
        <v>2023.0</v>
      </c>
      <c r="C145" s="50">
        <v>4.4689514760773665</v>
      </c>
      <c r="D145" s="50">
        <v>6.523841933876206</v>
      </c>
      <c r="E145" s="50">
        <v>1.794804986242947</v>
      </c>
      <c r="F145" s="50">
        <v>4.784912568489061</v>
      </c>
      <c r="G145" s="54">
        <v>4.393127741171395</v>
      </c>
      <c r="H145" s="50">
        <v>3.04594575232238</v>
      </c>
      <c r="I145" s="50">
        <v>3.1552631291619098</v>
      </c>
      <c r="J145" s="50">
        <v>2.5515570525320577</v>
      </c>
      <c r="K145" s="54">
        <v>2.917588644672116</v>
      </c>
      <c r="L145" s="50">
        <v>3.6553581929217556</v>
      </c>
      <c r="M145" s="50">
        <v>2.8670472425485842</v>
      </c>
      <c r="N145" s="50">
        <v>0.8353625552317047</v>
      </c>
      <c r="O145" s="50">
        <v>4.6318485378665555</v>
      </c>
      <c r="P145" s="50">
        <v>3.8565022421524664</v>
      </c>
      <c r="Q145" s="50">
        <v>4.339756304902239</v>
      </c>
      <c r="R145" s="54">
        <v>3.30610337654031</v>
      </c>
      <c r="S145" s="50">
        <v>0.6184571817350738</v>
      </c>
      <c r="T145" s="50">
        <v>0.6697935852537278</v>
      </c>
      <c r="U145" s="50">
        <v>0.0</v>
      </c>
      <c r="V145" s="50">
        <v>0.7531692180789956</v>
      </c>
      <c r="W145" s="54">
        <v>0.5103549962669494</v>
      </c>
      <c r="X145" s="50">
        <v>1.9082291864036294</v>
      </c>
      <c r="Y145" s="50">
        <v>4.857019376725027</v>
      </c>
    </row>
    <row r="146" ht="14.25" hidden="1" customHeight="1">
      <c r="A146" s="51" t="s">
        <v>335</v>
      </c>
      <c r="B146" s="23">
        <v>2023.0</v>
      </c>
      <c r="C146" s="50">
        <v>0.5327451645741433</v>
      </c>
      <c r="D146" s="50">
        <v>0.6640604492799727</v>
      </c>
      <c r="E146" s="50">
        <v>1.9792711655656317</v>
      </c>
      <c r="F146" s="50">
        <v>2.188805851534182</v>
      </c>
      <c r="G146" s="54">
        <v>1.3412206577384824</v>
      </c>
      <c r="H146" s="50">
        <v>0.24778620516742897</v>
      </c>
      <c r="I146" s="50">
        <v>0.11551745682046753</v>
      </c>
      <c r="J146" s="50">
        <v>1.8465993027241034</v>
      </c>
      <c r="K146" s="54">
        <v>0.7366343215706667</v>
      </c>
      <c r="L146" s="50">
        <v>1.0389274896545746</v>
      </c>
      <c r="M146" s="50">
        <v>4.140478106756936</v>
      </c>
      <c r="N146" s="50">
        <v>0.0</v>
      </c>
      <c r="O146" s="50">
        <v>3.3221960549544427</v>
      </c>
      <c r="P146" s="50">
        <v>4.0807174887892375</v>
      </c>
      <c r="Q146" s="50">
        <v>5.913828279965998</v>
      </c>
      <c r="R146" s="54">
        <v>3.491443986093323</v>
      </c>
      <c r="S146" s="50">
        <v>0.0</v>
      </c>
      <c r="T146" s="50">
        <v>0.0</v>
      </c>
      <c r="U146" s="50">
        <v>0.0</v>
      </c>
      <c r="V146" s="50">
        <v>0.626752631402624</v>
      </c>
      <c r="W146" s="54">
        <v>0.156688157850656</v>
      </c>
      <c r="X146" s="50">
        <v>1.8240660719719894</v>
      </c>
      <c r="Y146" s="50">
        <v>3.3038350365107325</v>
      </c>
    </row>
    <row r="147" ht="14.25" hidden="1" customHeight="1">
      <c r="A147" s="51" t="s">
        <v>326</v>
      </c>
      <c r="B147" s="23">
        <v>2023.0</v>
      </c>
      <c r="C147" s="50">
        <v>4.570749915167967</v>
      </c>
      <c r="D147" s="50">
        <v>5.7859820484772815</v>
      </c>
      <c r="E147" s="50">
        <v>1.978879758213317</v>
      </c>
      <c r="F147" s="50">
        <v>5.773647090802825</v>
      </c>
      <c r="G147" s="54">
        <v>4.527314703165348</v>
      </c>
      <c r="H147" s="50">
        <v>1.7483257185333514</v>
      </c>
      <c r="I147" s="50">
        <v>1.900020745100941</v>
      </c>
      <c r="J147" s="50">
        <v>3.223128286946759</v>
      </c>
      <c r="K147" s="54">
        <v>2.2904915835270168</v>
      </c>
      <c r="L147" s="50">
        <v>3.4089031433461825</v>
      </c>
      <c r="M147" s="50">
        <v>2.023503467842271</v>
      </c>
      <c r="N147" s="50">
        <v>0.0</v>
      </c>
      <c r="O147" s="50">
        <v>4.501796640915171</v>
      </c>
      <c r="P147" s="50">
        <v>2.42152466367713</v>
      </c>
      <c r="Q147" s="50">
        <v>1.7172003400396711</v>
      </c>
      <c r="R147" s="54">
        <v>2.132805022494849</v>
      </c>
      <c r="S147" s="50">
        <v>1.4731688190064403</v>
      </c>
      <c r="T147" s="50">
        <v>3.190904897241538</v>
      </c>
      <c r="U147" s="50">
        <v>0.6551733390770963</v>
      </c>
      <c r="V147" s="50">
        <v>0.5797856533921192</v>
      </c>
      <c r="W147" s="54">
        <v>1.4747581771792984</v>
      </c>
      <c r="X147" s="50">
        <v>1.8037815998370736</v>
      </c>
      <c r="Y147" s="50">
        <v>4.11262004053501</v>
      </c>
    </row>
    <row r="148" ht="14.25" hidden="1" customHeight="1">
      <c r="A148" s="51" t="s">
        <v>324</v>
      </c>
      <c r="B148" s="23">
        <v>2023.0</v>
      </c>
      <c r="C148" s="50">
        <v>5.079742110620971</v>
      </c>
      <c r="D148" s="50">
        <v>5.842726489598369</v>
      </c>
      <c r="E148" s="50">
        <v>3.787510191748762</v>
      </c>
      <c r="F148" s="50">
        <v>7.239873090151152</v>
      </c>
      <c r="G148" s="54">
        <v>5.487462970529813</v>
      </c>
      <c r="H148" s="50">
        <v>2.6542886591084986</v>
      </c>
      <c r="I148" s="50">
        <v>2.5161623746953445</v>
      </c>
      <c r="J148" s="50">
        <v>3.816403710925959</v>
      </c>
      <c r="K148" s="54">
        <v>2.9956182482432676</v>
      </c>
      <c r="L148" s="50">
        <v>4.24154060938654</v>
      </c>
      <c r="M148" s="50">
        <v>1.3177850519700214</v>
      </c>
      <c r="N148" s="50">
        <v>2.0733780275343006</v>
      </c>
      <c r="O148" s="50">
        <v>2.368467124143407</v>
      </c>
      <c r="P148" s="50">
        <v>3.6771300448430493</v>
      </c>
      <c r="Q148" s="50">
        <v>2.2853499574950407</v>
      </c>
      <c r="R148" s="54">
        <v>2.3444220411971637</v>
      </c>
      <c r="S148" s="50">
        <v>1.3815150932904303</v>
      </c>
      <c r="T148" s="50">
        <v>0.0</v>
      </c>
      <c r="U148" s="50">
        <v>0.9557512146380651</v>
      </c>
      <c r="V148" s="50">
        <v>1.9674014765908705</v>
      </c>
      <c r="W148" s="54">
        <v>1.0761669461298415</v>
      </c>
      <c r="X148" s="50">
        <v>1.7102944936635025</v>
      </c>
      <c r="Y148" s="50">
        <v>4.870703285280185</v>
      </c>
    </row>
    <row r="149" ht="14.25" hidden="1" customHeight="1">
      <c r="A149" s="49" t="s">
        <v>317</v>
      </c>
      <c r="B149" s="23">
        <v>2023.0</v>
      </c>
      <c r="C149" s="50">
        <v>7.115710892432983</v>
      </c>
      <c r="D149" s="50">
        <v>8.313075053117975</v>
      </c>
      <c r="E149" s="50">
        <v>4.175245378266933</v>
      </c>
      <c r="F149" s="50">
        <v>9.230241866796137</v>
      </c>
      <c r="G149" s="54">
        <v>7.208568297653506</v>
      </c>
      <c r="H149" s="50">
        <v>1.7586274726348816</v>
      </c>
      <c r="I149" s="50">
        <v>1.6606574619885452</v>
      </c>
      <c r="J149" s="50">
        <v>2.954558884358565</v>
      </c>
      <c r="K149" s="54">
        <v>2.124614606327331</v>
      </c>
      <c r="L149" s="50">
        <v>4.666591451990419</v>
      </c>
      <c r="M149" s="50">
        <v>0.5798751919712385</v>
      </c>
      <c r="N149" s="50">
        <v>0.0</v>
      </c>
      <c r="O149" s="50">
        <v>2.368670420658168</v>
      </c>
      <c r="P149" s="50">
        <v>2.10762331838565</v>
      </c>
      <c r="Q149" s="50">
        <v>2.5077925758005097</v>
      </c>
      <c r="R149" s="54">
        <v>1.5127923013631133</v>
      </c>
      <c r="S149" s="50">
        <v>0.281443896787032</v>
      </c>
      <c r="T149" s="50">
        <v>1.8288346121027081</v>
      </c>
      <c r="U149" s="50">
        <v>2.253035520676751</v>
      </c>
      <c r="V149" s="50">
        <v>1.370991466743108</v>
      </c>
      <c r="W149" s="54">
        <v>1.4335763740774</v>
      </c>
      <c r="X149" s="50">
        <v>1.4731843377202567</v>
      </c>
      <c r="Y149" s="50">
        <v>4.88765093756581</v>
      </c>
    </row>
    <row r="150" ht="14.25" hidden="1" customHeight="1">
      <c r="A150" s="51" t="s">
        <v>323</v>
      </c>
      <c r="B150" s="23">
        <v>2023.0</v>
      </c>
      <c r="C150" s="50">
        <v>4.944010858500169</v>
      </c>
      <c r="D150" s="50">
        <v>5.693702962054058</v>
      </c>
      <c r="E150" s="50">
        <v>2.7796027124013127</v>
      </c>
      <c r="F150" s="50">
        <v>5.389383246593055</v>
      </c>
      <c r="G150" s="54">
        <v>4.701674944887149</v>
      </c>
      <c r="H150" s="50">
        <v>2.080898734995222</v>
      </c>
      <c r="I150" s="50">
        <v>2.5279907217232744</v>
      </c>
      <c r="J150" s="50">
        <v>3.9393133605152753</v>
      </c>
      <c r="K150" s="54">
        <v>2.849400939077924</v>
      </c>
      <c r="L150" s="50">
        <v>3.7755379419825363</v>
      </c>
      <c r="M150" s="50">
        <v>1.9785324832553806</v>
      </c>
      <c r="N150" s="50">
        <v>0.0</v>
      </c>
      <c r="O150" s="50">
        <v>4.224627792504389</v>
      </c>
      <c r="P150" s="50">
        <v>2.825112107623318</v>
      </c>
      <c r="Q150" s="50">
        <v>3.085860017001984</v>
      </c>
      <c r="R150" s="54">
        <v>2.4228264800770143</v>
      </c>
      <c r="S150" s="50">
        <v>0.0</v>
      </c>
      <c r="T150" s="50">
        <v>1.1345415316468908</v>
      </c>
      <c r="U150" s="50">
        <v>0.0</v>
      </c>
      <c r="V150" s="50">
        <v>0.6378843998221756</v>
      </c>
      <c r="W150" s="54">
        <v>0.4431064828672666</v>
      </c>
      <c r="X150" s="50">
        <v>1.4329664814721403</v>
      </c>
      <c r="Y150" s="50">
        <v>4.459288269797553</v>
      </c>
    </row>
    <row r="151" ht="14.25" hidden="1" customHeight="1">
      <c r="A151" s="51" t="s">
        <v>322</v>
      </c>
      <c r="B151" s="23">
        <v>2023.0</v>
      </c>
      <c r="C151" s="50">
        <v>6.60671869697998</v>
      </c>
      <c r="D151" s="50">
        <v>4.971806433585945</v>
      </c>
      <c r="E151" s="50">
        <v>3.643024924718362</v>
      </c>
      <c r="F151" s="50">
        <v>7.799983582270488</v>
      </c>
      <c r="G151" s="54">
        <v>5.755383409388694</v>
      </c>
      <c r="H151" s="50">
        <v>1.9953746196526385</v>
      </c>
      <c r="I151" s="50">
        <v>2.8127323966900035</v>
      </c>
      <c r="J151" s="50">
        <v>2.215919163268924</v>
      </c>
      <c r="K151" s="54">
        <v>2.3413420598705224</v>
      </c>
      <c r="L151" s="50">
        <v>4.048362734629608</v>
      </c>
      <c r="M151" s="50">
        <v>0.29299399820910405</v>
      </c>
      <c r="N151" s="50">
        <v>0.0</v>
      </c>
      <c r="O151" s="50">
        <v>0.8976149867211847</v>
      </c>
      <c r="P151" s="50">
        <v>0.0</v>
      </c>
      <c r="Q151" s="50">
        <v>0.0</v>
      </c>
      <c r="R151" s="54">
        <v>0.23812179698605773</v>
      </c>
      <c r="S151" s="50">
        <v>0.0</v>
      </c>
      <c r="T151" s="50">
        <v>1.8481134302077384</v>
      </c>
      <c r="U151" s="50">
        <v>6.830358267952461</v>
      </c>
      <c r="V151" s="50">
        <v>1.381219977461947</v>
      </c>
      <c r="W151" s="54">
        <v>2.514922918905537</v>
      </c>
      <c r="X151" s="50">
        <v>1.3765223579457972</v>
      </c>
      <c r="Y151" s="50">
        <v>4.6808482702457095</v>
      </c>
    </row>
    <row r="152" ht="14.25" hidden="1" customHeight="1">
      <c r="A152" s="49" t="s">
        <v>334</v>
      </c>
      <c r="B152" s="23">
        <v>2023.0</v>
      </c>
      <c r="C152" s="50">
        <v>0.7024092297251441</v>
      </c>
      <c r="D152" s="50">
        <v>0.1203445665199501</v>
      </c>
      <c r="E152" s="50">
        <v>1.6464124887278098</v>
      </c>
      <c r="F152" s="50">
        <v>2.194172280243698</v>
      </c>
      <c r="G152" s="54">
        <v>1.1658346413041505</v>
      </c>
      <c r="H152" s="50">
        <v>0.880178984303349</v>
      </c>
      <c r="I152" s="50">
        <v>0.9232601108103812</v>
      </c>
      <c r="J152" s="50">
        <v>5.90911776871713</v>
      </c>
      <c r="K152" s="54">
        <v>2.5708522879436204</v>
      </c>
      <c r="L152" s="50">
        <v>1.8683434646238852</v>
      </c>
      <c r="M152" s="50">
        <v>0.0</v>
      </c>
      <c r="N152" s="50">
        <v>0.0</v>
      </c>
      <c r="O152" s="50">
        <v>0.0</v>
      </c>
      <c r="P152" s="50">
        <v>0.0</v>
      </c>
      <c r="Q152" s="50">
        <v>0.0</v>
      </c>
      <c r="R152" s="54">
        <v>0.0</v>
      </c>
      <c r="S152" s="50">
        <v>0.0</v>
      </c>
      <c r="T152" s="50">
        <v>9.64246923332404</v>
      </c>
      <c r="U152" s="50">
        <v>0.0</v>
      </c>
      <c r="V152" s="50">
        <v>0.4628007265052604</v>
      </c>
      <c r="W152" s="54">
        <v>2.5263174899573255</v>
      </c>
      <c r="X152" s="50">
        <v>1.2631587449786628</v>
      </c>
      <c r="Y152" s="50">
        <v>2.526129907373491</v>
      </c>
    </row>
    <row r="153" ht="14.25" hidden="1" customHeight="1">
      <c r="A153" s="49" t="s">
        <v>330</v>
      </c>
      <c r="B153" s="23">
        <v>2023.0</v>
      </c>
      <c r="C153" s="50">
        <v>3.9599592806243633</v>
      </c>
      <c r="D153" s="50">
        <v>8.213086687308694</v>
      </c>
      <c r="E153" s="50">
        <v>3.8979984675999524</v>
      </c>
      <c r="F153" s="50">
        <v>5.920159299653195</v>
      </c>
      <c r="G153" s="54">
        <v>5.497800933796552</v>
      </c>
      <c r="H153" s="50">
        <v>0.19100787925688112</v>
      </c>
      <c r="I153" s="50">
        <v>1.0053003126323106</v>
      </c>
      <c r="J153" s="50">
        <v>0.5909117768717131</v>
      </c>
      <c r="K153" s="54">
        <v>0.5957399895869683</v>
      </c>
      <c r="L153" s="50">
        <v>3.04677046169176</v>
      </c>
      <c r="M153" s="50">
        <v>0.9778293607619932</v>
      </c>
      <c r="N153" s="50">
        <v>0.0</v>
      </c>
      <c r="O153" s="50">
        <v>0.8559066485426813</v>
      </c>
      <c r="P153" s="50">
        <v>0.0</v>
      </c>
      <c r="Q153" s="50">
        <v>0.0</v>
      </c>
      <c r="R153" s="54">
        <v>0.3667472018609349</v>
      </c>
      <c r="S153" s="50">
        <v>2.847551778341411</v>
      </c>
      <c r="T153" s="50">
        <v>0.0</v>
      </c>
      <c r="U153" s="50">
        <v>0.0</v>
      </c>
      <c r="V153" s="50">
        <v>3.3832235056288527</v>
      </c>
      <c r="W153" s="54">
        <v>1.5576938209925661</v>
      </c>
      <c r="X153" s="50">
        <v>0.9622205114267506</v>
      </c>
      <c r="Y153" s="50">
        <v>4.470845236301154</v>
      </c>
    </row>
    <row r="154" ht="14.25" hidden="1" customHeight="1">
      <c r="A154" s="51" t="s">
        <v>321</v>
      </c>
      <c r="B154" s="23">
        <v>2023.0</v>
      </c>
      <c r="C154" s="50">
        <v>5.656599932134375</v>
      </c>
      <c r="D154" s="50">
        <v>6.6218030343768355</v>
      </c>
      <c r="E154" s="50">
        <v>2.2401767921902236</v>
      </c>
      <c r="F154" s="50">
        <v>6.570549168507375</v>
      </c>
      <c r="G154" s="54">
        <v>5.272282231802202</v>
      </c>
      <c r="H154" s="50">
        <v>2.3901528352435752</v>
      </c>
      <c r="I154" s="50">
        <v>1.5037316918418373</v>
      </c>
      <c r="J154" s="50">
        <v>3.376765348933404</v>
      </c>
      <c r="K154" s="54">
        <v>2.423549958672939</v>
      </c>
      <c r="L154" s="50">
        <v>3.847916095237571</v>
      </c>
      <c r="M154" s="50">
        <v>0.8020096912060342</v>
      </c>
      <c r="N154" s="50">
        <v>0.0</v>
      </c>
      <c r="O154" s="50">
        <v>1.7842739541744976</v>
      </c>
      <c r="P154" s="50">
        <v>1.704035874439462</v>
      </c>
      <c r="Q154" s="50">
        <v>3.757438367809578</v>
      </c>
      <c r="R154" s="54">
        <v>1.6095515775259144</v>
      </c>
      <c r="S154" s="50">
        <v>0.2919430800100336</v>
      </c>
      <c r="T154" s="50">
        <v>0.0</v>
      </c>
      <c r="U154" s="50">
        <v>0.25967603995260696</v>
      </c>
      <c r="V154" s="50">
        <v>0.5549798662040457</v>
      </c>
      <c r="W154" s="54">
        <v>0.2766497465416715</v>
      </c>
      <c r="X154" s="50">
        <v>0.943100662033793</v>
      </c>
      <c r="Y154" s="50">
        <v>4.581564908613289</v>
      </c>
    </row>
    <row r="155" ht="14.25" hidden="1" customHeight="1">
      <c r="A155" s="49" t="s">
        <v>325</v>
      </c>
      <c r="B155" s="23">
        <v>2023.0</v>
      </c>
      <c r="C155" s="50">
        <v>3.8581608415337634</v>
      </c>
      <c r="D155" s="50">
        <v>0.6058489818167129</v>
      </c>
      <c r="E155" s="50">
        <v>1.726504493541654</v>
      </c>
      <c r="F155" s="50">
        <v>6.104810336844427</v>
      </c>
      <c r="G155" s="54">
        <v>3.0738311634341393</v>
      </c>
      <c r="H155" s="50">
        <v>2.3122631681813006</v>
      </c>
      <c r="I155" s="50">
        <v>1.704637682565987</v>
      </c>
      <c r="J155" s="50">
        <v>2.954558884358565</v>
      </c>
      <c r="K155" s="54">
        <v>2.323819911701951</v>
      </c>
      <c r="L155" s="50">
        <v>2.6988255375680454</v>
      </c>
      <c r="M155" s="50">
        <v>0.7881693708228701</v>
      </c>
      <c r="N155" s="50">
        <v>0.0</v>
      </c>
      <c r="O155" s="50">
        <v>2.817070489240386</v>
      </c>
      <c r="P155" s="50">
        <v>0.0</v>
      </c>
      <c r="Q155" s="50">
        <v>3.7786908472655147</v>
      </c>
      <c r="R155" s="54">
        <v>1.476786141465754</v>
      </c>
      <c r="S155" s="50">
        <v>0.0</v>
      </c>
      <c r="T155" s="50">
        <v>0.0</v>
      </c>
      <c r="U155" s="50">
        <v>1.020779191430702</v>
      </c>
      <c r="V155" s="50">
        <v>0.5965340407766386</v>
      </c>
      <c r="W155" s="54">
        <v>0.4043283080518352</v>
      </c>
      <c r="X155" s="50">
        <v>0.9405572247587946</v>
      </c>
      <c r="Y155" s="50">
        <v>4.081120179347301</v>
      </c>
    </row>
    <row r="156" ht="14.25" hidden="1" customHeight="1">
      <c r="A156" s="49" t="s">
        <v>327</v>
      </c>
      <c r="B156" s="23">
        <v>2023.0</v>
      </c>
      <c r="C156" s="50">
        <v>5.11367492365117</v>
      </c>
      <c r="D156" s="50">
        <v>4.403683425604516</v>
      </c>
      <c r="E156" s="50">
        <v>3.0409447407098904</v>
      </c>
      <c r="F156" s="50">
        <v>5.97084847688326</v>
      </c>
      <c r="G156" s="54">
        <v>4.632287891712209</v>
      </c>
      <c r="H156" s="50">
        <v>2.628074543095244</v>
      </c>
      <c r="I156" s="50">
        <v>1.2391497662839943</v>
      </c>
      <c r="J156" s="50">
        <v>6.4016427347397045</v>
      </c>
      <c r="K156" s="54">
        <v>3.422955681372981</v>
      </c>
      <c r="L156" s="50">
        <v>4.027621786542595</v>
      </c>
      <c r="M156" s="50">
        <v>1.5588912964783428</v>
      </c>
      <c r="N156" s="50">
        <v>0.0</v>
      </c>
      <c r="O156" s="50">
        <v>2.9564549162285916</v>
      </c>
      <c r="P156" s="50">
        <v>2.6008968609865466</v>
      </c>
      <c r="Q156" s="50">
        <v>0.7452536129215075</v>
      </c>
      <c r="R156" s="54">
        <v>1.5722993373229976</v>
      </c>
      <c r="S156" s="50">
        <v>0.0</v>
      </c>
      <c r="T156" s="50">
        <v>0.0</v>
      </c>
      <c r="U156" s="50">
        <v>0.0</v>
      </c>
      <c r="V156" s="50">
        <v>0.5123975607781958</v>
      </c>
      <c r="W156" s="54">
        <v>0.12809939019454894</v>
      </c>
      <c r="X156" s="50">
        <v>0.8501993637587734</v>
      </c>
      <c r="Y156" s="50">
        <v>4.262998288863425</v>
      </c>
    </row>
    <row r="157" ht="14.25" hidden="1" customHeight="1">
      <c r="A157" s="51" t="s">
        <v>331</v>
      </c>
      <c r="B157" s="23">
        <v>2023.0</v>
      </c>
      <c r="C157" s="50">
        <v>1.5507295554801495</v>
      </c>
      <c r="D157" s="50">
        <v>0.7177322360382488</v>
      </c>
      <c r="E157" s="50">
        <v>2.0128705924635124</v>
      </c>
      <c r="F157" s="50">
        <v>4.633700293484669</v>
      </c>
      <c r="G157" s="54">
        <v>2.2287581693666447</v>
      </c>
      <c r="H157" s="50">
        <v>1.6452293214701244</v>
      </c>
      <c r="I157" s="50">
        <v>2.1553098359681226</v>
      </c>
      <c r="J157" s="50">
        <v>0.8441174732612422</v>
      </c>
      <c r="K157" s="54">
        <v>1.5482188768998297</v>
      </c>
      <c r="L157" s="50">
        <v>1.8884885231332371</v>
      </c>
      <c r="M157" s="50">
        <v>0.0</v>
      </c>
      <c r="N157" s="50">
        <v>0.0</v>
      </c>
      <c r="O157" s="50">
        <v>0.12760205059462812</v>
      </c>
      <c r="P157" s="50">
        <v>4.4843049327354265</v>
      </c>
      <c r="Q157" s="50">
        <v>0.0</v>
      </c>
      <c r="R157" s="54">
        <v>0.9223813966660108</v>
      </c>
      <c r="S157" s="50">
        <v>0.0</v>
      </c>
      <c r="T157" s="50">
        <v>0.0</v>
      </c>
      <c r="U157" s="50">
        <v>0.0</v>
      </c>
      <c r="V157" s="50">
        <v>0.7565771179717508</v>
      </c>
      <c r="W157" s="54">
        <v>0.1891442794929377</v>
      </c>
      <c r="X157" s="50">
        <v>0.5557628380794742</v>
      </c>
      <c r="Y157" s="50">
        <v>3.8442520995212703</v>
      </c>
    </row>
    <row r="158" ht="14.25" hidden="1" customHeight="1">
      <c r="A158" s="49" t="s">
        <v>329</v>
      </c>
      <c r="B158" s="52">
        <v>2023.0</v>
      </c>
      <c r="C158" s="50">
        <v>3.484899898201561</v>
      </c>
      <c r="D158" s="50">
        <v>0.7413457600552529</v>
      </c>
      <c r="E158" s="50">
        <v>0.9706111144933095</v>
      </c>
      <c r="F158" s="50">
        <v>5.866134616978452</v>
      </c>
      <c r="G158" s="54">
        <v>2.765747847432144</v>
      </c>
      <c r="H158" s="50">
        <v>0.24718295640076712</v>
      </c>
      <c r="I158" s="50">
        <v>0.39463005176569926</v>
      </c>
      <c r="J158" s="50">
        <v>0.8441174732612422</v>
      </c>
      <c r="K158" s="54">
        <v>0.4953101604759028</v>
      </c>
      <c r="L158" s="50">
        <v>1.6305290039540234</v>
      </c>
      <c r="M158" s="50">
        <v>0.0</v>
      </c>
      <c r="N158" s="50">
        <v>0.0</v>
      </c>
      <c r="O158" s="50">
        <v>0.6573585300702898</v>
      </c>
      <c r="P158" s="50">
        <v>0.0</v>
      </c>
      <c r="Q158" s="50">
        <v>0.0</v>
      </c>
      <c r="R158" s="54">
        <v>0.13147170601405794</v>
      </c>
      <c r="S158" s="50">
        <v>0.0</v>
      </c>
      <c r="T158" s="50">
        <v>0.0</v>
      </c>
      <c r="U158" s="50">
        <v>0.0</v>
      </c>
      <c r="V158" s="50">
        <v>0.5115606889044451</v>
      </c>
      <c r="W158" s="54">
        <v>0.12789017222611127</v>
      </c>
      <c r="X158" s="50">
        <v>0.1296809391200846</v>
      </c>
      <c r="Y158" s="50">
        <v>4.034101239109039</v>
      </c>
    </row>
    <row r="159" ht="14.25" hidden="1" customHeight="1">
      <c r="A159" s="49" t="s">
        <v>336</v>
      </c>
      <c r="B159" s="23">
        <v>2023.0</v>
      </c>
      <c r="C159" s="50">
        <v>0.023752969121140145</v>
      </c>
      <c r="D159" s="50">
        <v>1.9809001565884325</v>
      </c>
      <c r="E159" s="50">
        <v>2.46113568560353</v>
      </c>
      <c r="F159" s="50">
        <v>1.8149683078147771</v>
      </c>
      <c r="G159" s="54">
        <v>1.57018927978197</v>
      </c>
      <c r="H159" s="50">
        <v>0.0</v>
      </c>
      <c r="I159" s="50">
        <v>0.0</v>
      </c>
      <c r="J159" s="50">
        <v>0.0</v>
      </c>
      <c r="K159" s="54">
        <v>0.0</v>
      </c>
      <c r="L159" s="50">
        <v>0.785094639890985</v>
      </c>
      <c r="M159" s="50">
        <v>0.0</v>
      </c>
      <c r="N159" s="50">
        <v>0.0</v>
      </c>
      <c r="O159" s="50">
        <v>0.24222344816949945</v>
      </c>
      <c r="P159" s="50">
        <v>0.0</v>
      </c>
      <c r="Q159" s="50">
        <v>0.0</v>
      </c>
      <c r="R159" s="54">
        <v>0.04844468963389989</v>
      </c>
      <c r="S159" s="50">
        <v>0.0</v>
      </c>
      <c r="T159" s="50">
        <v>0.0</v>
      </c>
      <c r="U159" s="50">
        <v>0.0</v>
      </c>
      <c r="V159" s="50">
        <v>0.07180947228796912</v>
      </c>
      <c r="W159" s="54">
        <v>0.01795236807199228</v>
      </c>
      <c r="X159" s="50">
        <v>0.03319852885294608</v>
      </c>
      <c r="Y159" s="50">
        <v>2.792834470860423</v>
      </c>
    </row>
    <row r="160" ht="14.25" hidden="1" customHeight="1">
      <c r="A160" s="51" t="s">
        <v>332</v>
      </c>
      <c r="B160" s="23">
        <v>2023.0</v>
      </c>
      <c r="C160" s="50">
        <v>0.7024092297251441</v>
      </c>
      <c r="D160" s="50">
        <v>1.1385232283727211</v>
      </c>
      <c r="E160" s="50">
        <v>2.9813848844344966</v>
      </c>
      <c r="F160" s="50">
        <v>4.9352694557070365</v>
      </c>
      <c r="G160" s="54">
        <v>2.4393966995598495</v>
      </c>
      <c r="H160" s="50">
        <v>1.0484376822930046</v>
      </c>
      <c r="I160" s="50">
        <v>0.9365654847620561</v>
      </c>
      <c r="J160" s="50">
        <v>5.318205991845418</v>
      </c>
      <c r="K160" s="54">
        <v>2.434403052966826</v>
      </c>
      <c r="L160" s="50">
        <v>2.436899876263338</v>
      </c>
      <c r="M160" s="50">
        <v>0.0</v>
      </c>
      <c r="N160" s="50">
        <v>0.0</v>
      </c>
      <c r="O160" s="50">
        <v>0.26979515088364664</v>
      </c>
      <c r="P160" s="50">
        <v>0.0</v>
      </c>
      <c r="Q160" s="50">
        <v>0.0</v>
      </c>
      <c r="R160" s="54">
        <v>0.05395903017672933</v>
      </c>
      <c r="S160" s="50">
        <v>0.0</v>
      </c>
      <c r="T160" s="50">
        <v>0.0</v>
      </c>
      <c r="U160" s="50">
        <v>0.0</v>
      </c>
      <c r="V160" s="50">
        <v>0.0</v>
      </c>
      <c r="W160" s="54">
        <v>0.0</v>
      </c>
      <c r="X160" s="50">
        <v>0.026979515088364665</v>
      </c>
      <c r="Y160" s="50">
        <v>3.4682557123260045</v>
      </c>
    </row>
    <row r="161" ht="14.25" hidden="1" customHeight="1">
      <c r="A161" s="51" t="s">
        <v>333</v>
      </c>
      <c r="B161" s="23">
        <v>2023.0</v>
      </c>
      <c r="C161" s="50">
        <v>1.5167967424499489</v>
      </c>
      <c r="D161" s="50">
        <v>0.13382903440592878</v>
      </c>
      <c r="E161" s="50">
        <v>0.23547680563688403</v>
      </c>
      <c r="F161" s="50">
        <v>0.25528461591949003</v>
      </c>
      <c r="G161" s="54">
        <v>0.535346799603063</v>
      </c>
      <c r="H161" s="50">
        <v>0.9780034602822394</v>
      </c>
      <c r="I161" s="50">
        <v>1.3931609104066403</v>
      </c>
      <c r="J161" s="50">
        <v>2.954558884358565</v>
      </c>
      <c r="K161" s="54">
        <v>1.7752410850158151</v>
      </c>
      <c r="L161" s="50">
        <v>1.155293942309439</v>
      </c>
      <c r="M161" s="50">
        <v>0.0</v>
      </c>
      <c r="N161" s="50">
        <v>0.0</v>
      </c>
      <c r="O161" s="50">
        <v>0.0</v>
      </c>
      <c r="P161" s="50">
        <v>0.0</v>
      </c>
      <c r="Q161" s="50">
        <v>0.0</v>
      </c>
      <c r="R161" s="54">
        <v>0.0</v>
      </c>
      <c r="S161" s="50">
        <v>0.0</v>
      </c>
      <c r="T161" s="50">
        <v>0.0</v>
      </c>
      <c r="U161" s="50">
        <v>0.0</v>
      </c>
      <c r="V161" s="50">
        <v>0.10891278431384084</v>
      </c>
      <c r="W161" s="54">
        <v>0.02722819607846021</v>
      </c>
      <c r="X161" s="50">
        <v>0.013614098039230105</v>
      </c>
      <c r="Y161" s="50">
        <v>3.2359583638780656</v>
      </c>
    </row>
    <row r="162" ht="14.25" customHeight="1">
      <c r="A162" s="51" t="s">
        <v>305</v>
      </c>
      <c r="B162" s="23">
        <v>2024.0</v>
      </c>
      <c r="C162" s="50">
        <v>9.626739056667796</v>
      </c>
      <c r="D162" s="50">
        <v>8.637234263964231</v>
      </c>
      <c r="E162" s="50">
        <v>8.630533924081224</v>
      </c>
      <c r="F162" s="50">
        <v>9.235246435969257</v>
      </c>
      <c r="G162" s="50">
        <v>9.032438420170626</v>
      </c>
      <c r="H162" s="50">
        <v>10.0</v>
      </c>
      <c r="I162" s="50">
        <v>8.132758940713899</v>
      </c>
      <c r="J162" s="50">
        <v>7.237487443124743</v>
      </c>
      <c r="K162" s="50">
        <v>8.456748794612881</v>
      </c>
      <c r="L162" s="50">
        <v>8.744593607391753</v>
      </c>
      <c r="M162" s="50">
        <v>4.7702044051917465</v>
      </c>
      <c r="N162" s="50">
        <v>7.098167509296581</v>
      </c>
      <c r="O162" s="50">
        <v>6.716183733002907</v>
      </c>
      <c r="P162" s="50">
        <v>6.681614349775785</v>
      </c>
      <c r="Q162" s="50">
        <v>3.7035987531878725</v>
      </c>
      <c r="R162" s="50">
        <v>5.793953750090979</v>
      </c>
      <c r="S162" s="50">
        <v>4.745779304708634</v>
      </c>
      <c r="T162" s="50">
        <v>5.491146572084407</v>
      </c>
      <c r="U162" s="50">
        <v>3.2290770333929215</v>
      </c>
      <c r="V162" s="50">
        <v>8.509615769046341</v>
      </c>
      <c r="W162" s="50">
        <v>5.493904669808076</v>
      </c>
      <c r="X162" s="50">
        <v>5.643929209949528</v>
      </c>
      <c r="Y162" s="50">
        <v>7.398285675614941</v>
      </c>
    </row>
    <row r="163" ht="14.25" customHeight="1">
      <c r="A163" s="49" t="s">
        <v>308</v>
      </c>
      <c r="B163" s="23">
        <v>2024.0</v>
      </c>
      <c r="C163" s="50">
        <v>8.948082796063794</v>
      </c>
      <c r="D163" s="50">
        <v>6.6919932913688465</v>
      </c>
      <c r="E163" s="50">
        <v>6.030540440676001</v>
      </c>
      <c r="F163" s="50">
        <v>7.2031869658304215</v>
      </c>
      <c r="G163" s="50">
        <v>7.218450873484765</v>
      </c>
      <c r="H163" s="50">
        <v>8.900574391395923</v>
      </c>
      <c r="I163" s="50">
        <v>8.603869871198398</v>
      </c>
      <c r="J163" s="50">
        <v>7.288010400047273</v>
      </c>
      <c r="K163" s="50">
        <v>8.264151554213864</v>
      </c>
      <c r="L163" s="50">
        <v>7.741301213849314</v>
      </c>
      <c r="M163" s="50">
        <v>9.89906417840529</v>
      </c>
      <c r="N163" s="50">
        <v>8.129861551545636</v>
      </c>
      <c r="O163" s="50">
        <v>9.939701042205341</v>
      </c>
      <c r="P163" s="50">
        <v>3.811659192825112</v>
      </c>
      <c r="Q163" s="50">
        <v>3.697931425332956</v>
      </c>
      <c r="R163" s="50">
        <v>7.0956434780628665</v>
      </c>
      <c r="S163" s="50">
        <v>0.864664289194591</v>
      </c>
      <c r="T163" s="50">
        <v>1.8728753142641912</v>
      </c>
      <c r="U163" s="50">
        <v>2.307291529212855</v>
      </c>
      <c r="V163" s="50">
        <v>3.49289475182386</v>
      </c>
      <c r="W163" s="50">
        <v>2.1344314711238743</v>
      </c>
      <c r="X163" s="50">
        <v>4.61503747459337</v>
      </c>
      <c r="Y163" s="50">
        <v>6.395942190766632</v>
      </c>
    </row>
    <row r="164" ht="14.25" customHeight="1">
      <c r="A164" s="51" t="s">
        <v>307</v>
      </c>
      <c r="B164" s="23">
        <v>2024.0</v>
      </c>
      <c r="C164" s="50">
        <v>9.932134373939599</v>
      </c>
      <c r="D164" s="50">
        <v>10.0</v>
      </c>
      <c r="E164" s="50">
        <v>5.434708600728971</v>
      </c>
      <c r="F164" s="50">
        <v>8.75454419572136</v>
      </c>
      <c r="G164" s="50">
        <v>8.530346792597483</v>
      </c>
      <c r="H164" s="50">
        <v>4.1489936134881065</v>
      </c>
      <c r="I164" s="50">
        <v>4.635932577208776</v>
      </c>
      <c r="J164" s="50">
        <v>7.012054600248183</v>
      </c>
      <c r="K164" s="50">
        <v>5.265660263648355</v>
      </c>
      <c r="L164" s="50">
        <v>6.898003528122919</v>
      </c>
      <c r="M164" s="50">
        <v>5.212176730946849</v>
      </c>
      <c r="N164" s="50">
        <v>4.5325427248910515</v>
      </c>
      <c r="O164" s="50">
        <v>6.6811875966575</v>
      </c>
      <c r="P164" s="50">
        <v>4.84304932735426</v>
      </c>
      <c r="Q164" s="50">
        <v>3.8013601586851795</v>
      </c>
      <c r="R164" s="50">
        <v>5.014063307706968</v>
      </c>
      <c r="S164" s="50">
        <v>3.442089534158102</v>
      </c>
      <c r="T164" s="50">
        <v>2.7644417199129863</v>
      </c>
      <c r="U164" s="50">
        <v>4.816082145793004</v>
      </c>
      <c r="V164" s="50">
        <v>10.0</v>
      </c>
      <c r="W164" s="50">
        <v>5.255653349966023</v>
      </c>
      <c r="X164" s="50">
        <v>5.134858328836495</v>
      </c>
      <c r="Y164" s="50">
        <v>6.73328537924979</v>
      </c>
    </row>
    <row r="165" ht="14.25" customHeight="1">
      <c r="A165" s="49" t="s">
        <v>315</v>
      </c>
      <c r="B165" s="23">
        <v>2024.0</v>
      </c>
      <c r="C165" s="50">
        <v>7.522904648795386</v>
      </c>
      <c r="D165" s="50">
        <v>8.750142467507926</v>
      </c>
      <c r="E165" s="50">
        <v>6.37359513640308</v>
      </c>
      <c r="F165" s="50">
        <v>8.317542159132364</v>
      </c>
      <c r="G165" s="50">
        <v>7.741046102959689</v>
      </c>
      <c r="H165" s="50">
        <v>4.407598079871004</v>
      </c>
      <c r="I165" s="50">
        <v>6.6144814149372</v>
      </c>
      <c r="J165" s="50">
        <v>6.500029545588845</v>
      </c>
      <c r="K165" s="50">
        <v>5.840703013465682</v>
      </c>
      <c r="L165" s="50">
        <v>6.7908745582126855</v>
      </c>
      <c r="M165" s="50">
        <v>9.319794351064782</v>
      </c>
      <c r="N165" s="50">
        <v>7.498425586354159</v>
      </c>
      <c r="O165" s="50">
        <v>9.100201906040343</v>
      </c>
      <c r="P165" s="50">
        <v>3.452914798206278</v>
      </c>
      <c r="Q165" s="50">
        <v>4.855483139699633</v>
      </c>
      <c r="R165" s="50">
        <v>6.845363956273038</v>
      </c>
      <c r="S165" s="50">
        <v>3.985489201166539</v>
      </c>
      <c r="T165" s="50">
        <v>2.6561929413300858</v>
      </c>
      <c r="U165" s="50">
        <v>5.181143004616754</v>
      </c>
      <c r="V165" s="50">
        <v>4.726119631300862</v>
      </c>
      <c r="W165" s="50">
        <v>4.1372361946035605</v>
      </c>
      <c r="X165" s="50">
        <v>5.491300075438299</v>
      </c>
      <c r="Y165" s="50">
        <v>6.267392308513335</v>
      </c>
    </row>
    <row r="166" ht="14.25" customHeight="1">
      <c r="A166" s="51" t="s">
        <v>309</v>
      </c>
      <c r="B166" s="23">
        <v>2024.0</v>
      </c>
      <c r="C166" s="50">
        <v>8.880217170003395</v>
      </c>
      <c r="D166" s="50">
        <v>9.016120265922453</v>
      </c>
      <c r="E166" s="50">
        <v>5.958318399470301</v>
      </c>
      <c r="F166" s="50">
        <v>8.579743381085763</v>
      </c>
      <c r="G166" s="50">
        <v>8.108599804120477</v>
      </c>
      <c r="H166" s="50">
        <v>5.401251705705602</v>
      </c>
      <c r="I166" s="50">
        <v>6.469999672445774</v>
      </c>
      <c r="J166" s="50">
        <v>3.877858535720617</v>
      </c>
      <c r="K166" s="50">
        <v>5.249703304623997</v>
      </c>
      <c r="L166" s="50">
        <v>6.679151554372238</v>
      </c>
      <c r="M166" s="50">
        <v>3.6003804362832987</v>
      </c>
      <c r="N166" s="50">
        <v>1.7702407337302541</v>
      </c>
      <c r="O166" s="50">
        <v>4.398912110754692</v>
      </c>
      <c r="P166" s="50">
        <v>3.991031390134529</v>
      </c>
      <c r="Q166" s="50">
        <v>3.6143383394729387</v>
      </c>
      <c r="R166" s="50">
        <v>3.474980602075143</v>
      </c>
      <c r="S166" s="50">
        <v>2.8333797325402843</v>
      </c>
      <c r="T166" s="50">
        <v>2.3604389780677337</v>
      </c>
      <c r="U166" s="50">
        <v>5.234303358110415</v>
      </c>
      <c r="V166" s="50">
        <v>5.033393648875824</v>
      </c>
      <c r="W166" s="50">
        <v>3.865378929398564</v>
      </c>
      <c r="X166" s="50">
        <v>3.6701797657368536</v>
      </c>
      <c r="Y166" s="50">
        <v>6.109174214712132</v>
      </c>
    </row>
    <row r="167" ht="14.25" hidden="1" customHeight="1">
      <c r="A167" s="49" t="s">
        <v>316</v>
      </c>
      <c r="B167" s="23">
        <v>2024.0</v>
      </c>
      <c r="C167" s="50">
        <v>6.810315575161182</v>
      </c>
      <c r="D167" s="50">
        <v>7.3712385666002245</v>
      </c>
      <c r="E167" s="50">
        <v>5.055542884399044</v>
      </c>
      <c r="F167" s="50">
        <v>7.8368399188844675</v>
      </c>
      <c r="G167" s="50">
        <v>6.76848423626123</v>
      </c>
      <c r="H167" s="50">
        <v>6.995859387207286</v>
      </c>
      <c r="I167" s="50">
        <v>5.844004119904257</v>
      </c>
      <c r="J167" s="50">
        <v>4.220882822194647</v>
      </c>
      <c r="K167" s="50">
        <v>5.686915443102064</v>
      </c>
      <c r="L167" s="50">
        <v>6.227699839681646</v>
      </c>
      <c r="M167" s="50">
        <v>4.427511974545259</v>
      </c>
      <c r="N167" s="50">
        <v>1.290030265803136</v>
      </c>
      <c r="O167" s="50">
        <v>7.798761812285882</v>
      </c>
      <c r="P167" s="50">
        <v>4.753363228699552</v>
      </c>
      <c r="Q167" s="50">
        <v>3.648342306602437</v>
      </c>
      <c r="R167" s="50">
        <v>4.383601917587253</v>
      </c>
      <c r="S167" s="50">
        <v>2.834582966516198</v>
      </c>
      <c r="T167" s="50">
        <v>5.1164563042601525</v>
      </c>
      <c r="U167" s="50">
        <v>1.2606451908994412</v>
      </c>
      <c r="V167" s="50">
        <v>2.3574705316126017</v>
      </c>
      <c r="W167" s="50">
        <v>2.8922887483220983</v>
      </c>
      <c r="X167" s="50">
        <v>3.6379453329546756</v>
      </c>
      <c r="Y167" s="50">
        <v>5.813307596213163</v>
      </c>
    </row>
    <row r="168" ht="14.25" hidden="1" customHeight="1">
      <c r="A168" s="51" t="s">
        <v>306</v>
      </c>
      <c r="B168" s="23">
        <v>2024.0</v>
      </c>
      <c r="C168" s="50">
        <v>9.796403121818798</v>
      </c>
      <c r="D168" s="50">
        <v>7.605508553729444</v>
      </c>
      <c r="E168" s="50">
        <v>5.109709415303319</v>
      </c>
      <c r="F168" s="50">
        <v>8.295692057302912</v>
      </c>
      <c r="G168" s="50">
        <v>7.701828287038619</v>
      </c>
      <c r="H168" s="50">
        <v>5.856742375438298</v>
      </c>
      <c r="I168" s="50">
        <v>4.672448807520645</v>
      </c>
      <c r="J168" s="50">
        <v>2.806830940140637</v>
      </c>
      <c r="K168" s="50">
        <v>4.4453407076998595</v>
      </c>
      <c r="L168" s="50">
        <v>6.0735844973692386</v>
      </c>
      <c r="M168" s="50">
        <v>1.7987892724538843</v>
      </c>
      <c r="N168" s="50">
        <v>0.0</v>
      </c>
      <c r="O168" s="50">
        <v>4.933444129200364</v>
      </c>
      <c r="P168" s="50">
        <v>3.6771300448430493</v>
      </c>
      <c r="Q168" s="50">
        <v>4.573533578917541</v>
      </c>
      <c r="R168" s="50">
        <v>2.9965794050829677</v>
      </c>
      <c r="S168" s="50">
        <v>4.166955848661689</v>
      </c>
      <c r="T168" s="50">
        <v>9.991006335605764</v>
      </c>
      <c r="U168" s="50">
        <v>5.559603913546949</v>
      </c>
      <c r="V168" s="50">
        <v>5.028186077943774</v>
      </c>
      <c r="W168" s="50">
        <v>6.186438043939544</v>
      </c>
      <c r="X168" s="50">
        <v>4.591508724511256</v>
      </c>
      <c r="Y168" s="50">
        <v>5.695759038280158</v>
      </c>
    </row>
    <row r="169" ht="14.25" customHeight="1">
      <c r="A169" s="49" t="s">
        <v>310</v>
      </c>
      <c r="B169" s="23">
        <v>2024.0</v>
      </c>
      <c r="C169" s="50">
        <v>8.473023413640991</v>
      </c>
      <c r="D169" s="50">
        <v>7.440430316960738</v>
      </c>
      <c r="E169" s="50">
        <v>5.795818806757475</v>
      </c>
      <c r="F169" s="50">
        <v>9.497447657922653</v>
      </c>
      <c r="G169" s="50">
        <v>7.801680048820464</v>
      </c>
      <c r="H169" s="50">
        <v>4.0526666138594</v>
      </c>
      <c r="I169" s="50">
        <v>3.9902746724154454</v>
      </c>
      <c r="J169" s="50">
        <v>4.898363174378066</v>
      </c>
      <c r="K169" s="50">
        <v>4.31376815355097</v>
      </c>
      <c r="L169" s="50">
        <v>6.057724101185718</v>
      </c>
      <c r="M169" s="50">
        <v>4.435380930368553</v>
      </c>
      <c r="N169" s="50">
        <v>2.3261814337684585</v>
      </c>
      <c r="O169" s="50">
        <v>6.612313316402768</v>
      </c>
      <c r="P169" s="50">
        <v>3.6771300448430493</v>
      </c>
      <c r="Q169" s="50">
        <v>3.4244828563332392</v>
      </c>
      <c r="R169" s="50">
        <v>4.095097716343213</v>
      </c>
      <c r="S169" s="50">
        <v>6.335821745411644</v>
      </c>
      <c r="T169" s="50">
        <v>2.639131005668362</v>
      </c>
      <c r="U169" s="50">
        <v>2.709401140003251</v>
      </c>
      <c r="V169" s="50">
        <v>4.080517318469331</v>
      </c>
      <c r="W169" s="50">
        <v>3.941217802388147</v>
      </c>
      <c r="X169" s="50">
        <v>4.01815775936568</v>
      </c>
      <c r="Y169" s="50">
        <v>6.111371782625107</v>
      </c>
    </row>
    <row r="170" ht="14.25" hidden="1" customHeight="1">
      <c r="A170" s="51" t="s">
        <v>313</v>
      </c>
      <c r="B170" s="23">
        <v>2024.0</v>
      </c>
      <c r="C170" s="50">
        <v>9.694604682728198</v>
      </c>
      <c r="D170" s="50">
        <v>5.590205492918578</v>
      </c>
      <c r="E170" s="50">
        <v>4.405544513547738</v>
      </c>
      <c r="F170" s="50">
        <v>8.273841955473465</v>
      </c>
      <c r="G170" s="50">
        <v>6.991049161166995</v>
      </c>
      <c r="H170" s="50">
        <v>3.6888315114760584</v>
      </c>
      <c r="I170" s="50">
        <v>4.920261776484275</v>
      </c>
      <c r="J170" s="50">
        <v>3.9393133605152753</v>
      </c>
      <c r="K170" s="50">
        <v>4.182802216158536</v>
      </c>
      <c r="L170" s="50">
        <v>5.586925688662765</v>
      </c>
      <c r="M170" s="50">
        <v>2.040570785811594</v>
      </c>
      <c r="N170" s="50">
        <v>0.0</v>
      </c>
      <c r="O170" s="50">
        <v>4.152770668402935</v>
      </c>
      <c r="P170" s="50">
        <v>4.9775784753363235</v>
      </c>
      <c r="Q170" s="50">
        <v>3.4854066307735905</v>
      </c>
      <c r="R170" s="50">
        <v>2.9312653120648893</v>
      </c>
      <c r="S170" s="50">
        <v>0.5917151719692852</v>
      </c>
      <c r="T170" s="50">
        <v>1.9224953878154172</v>
      </c>
      <c r="U170" s="50">
        <v>10.0</v>
      </c>
      <c r="V170" s="50">
        <v>3.9721003562558614</v>
      </c>
      <c r="W170" s="50">
        <v>4.1215777290101405</v>
      </c>
      <c r="X170" s="50">
        <v>3.526421520537515</v>
      </c>
      <c r="Y170" s="50">
        <v>5.417128534422342</v>
      </c>
    </row>
    <row r="171" ht="14.25" hidden="1" customHeight="1">
      <c r="A171" s="51" t="s">
        <v>311</v>
      </c>
      <c r="B171" s="23">
        <v>2024.0</v>
      </c>
      <c r="C171" s="50">
        <v>7.964031218187988</v>
      </c>
      <c r="D171" s="50">
        <v>6.626326947226558</v>
      </c>
      <c r="E171" s="50">
        <v>5.8860963582646</v>
      </c>
      <c r="F171" s="50">
        <v>9.278946639628154</v>
      </c>
      <c r="G171" s="50">
        <v>7.438850290826826</v>
      </c>
      <c r="H171" s="50">
        <v>2.6754579594554535</v>
      </c>
      <c r="I171" s="50">
        <v>2.464827348594125</v>
      </c>
      <c r="J171" s="50">
        <v>5.32884240382911</v>
      </c>
      <c r="K171" s="50">
        <v>3.4897092372928955</v>
      </c>
      <c r="L171" s="50">
        <v>5.46427976405986</v>
      </c>
      <c r="M171" s="50">
        <v>3.787201302824789</v>
      </c>
      <c r="N171" s="50">
        <v>2.7250201641431855</v>
      </c>
      <c r="O171" s="50">
        <v>4.918576990645478</v>
      </c>
      <c r="P171" s="50">
        <v>5.291479820627803</v>
      </c>
      <c r="Q171" s="50">
        <v>3.818362142249929</v>
      </c>
      <c r="R171" s="50">
        <v>4.108128084098237</v>
      </c>
      <c r="S171" s="50">
        <v>2.1478249131477267</v>
      </c>
      <c r="T171" s="50">
        <v>4.79760158842678</v>
      </c>
      <c r="U171" s="50">
        <v>3.1641601807218085</v>
      </c>
      <c r="V171" s="50">
        <v>5.79353420755901</v>
      </c>
      <c r="W171" s="50">
        <v>3.9757802224638317</v>
      </c>
      <c r="X171" s="50">
        <v>4.041954153281035</v>
      </c>
      <c r="Y171" s="50">
        <v>6.267776262708001</v>
      </c>
    </row>
    <row r="172" ht="14.25" hidden="1" customHeight="1">
      <c r="A172" s="51" t="s">
        <v>312</v>
      </c>
      <c r="B172" s="23">
        <v>2024.0</v>
      </c>
      <c r="C172" s="50">
        <v>8.303359348489991</v>
      </c>
      <c r="D172" s="50">
        <v>5.612628973072582</v>
      </c>
      <c r="E172" s="50">
        <v>4.676377168069115</v>
      </c>
      <c r="F172" s="50">
        <v>8.273841955473465</v>
      </c>
      <c r="G172" s="50">
        <v>6.716551861276288</v>
      </c>
      <c r="H172" s="50">
        <v>3.8006478103193473</v>
      </c>
      <c r="I172" s="50">
        <v>4.300808209722052</v>
      </c>
      <c r="J172" s="50">
        <v>2.5852390238137444</v>
      </c>
      <c r="K172" s="50">
        <v>3.5622316812850485</v>
      </c>
      <c r="L172" s="50">
        <v>5.139391771280668</v>
      </c>
      <c r="M172" s="50">
        <v>1.7591245468581354</v>
      </c>
      <c r="N172" s="50">
        <v>0.0</v>
      </c>
      <c r="O172" s="50">
        <v>4.170249415855744</v>
      </c>
      <c r="P172" s="50">
        <v>4.618834080717489</v>
      </c>
      <c r="Q172" s="50">
        <v>4.617455369793143</v>
      </c>
      <c r="R172" s="50">
        <v>3.0331326826449025</v>
      </c>
      <c r="S172" s="50">
        <v>2.110005303058947</v>
      </c>
      <c r="T172" s="50">
        <v>3.6562415212004167</v>
      </c>
      <c r="U172" s="50">
        <v>0.37535934837607154</v>
      </c>
      <c r="V172" s="50">
        <v>1.9930111810864002</v>
      </c>
      <c r="W172" s="50">
        <v>2.033654338430459</v>
      </c>
      <c r="X172" s="50">
        <v>2.5333935105376804</v>
      </c>
      <c r="Y172" s="50">
        <v>5.431673105189574</v>
      </c>
    </row>
    <row r="173" ht="14.25" hidden="1" customHeight="1">
      <c r="A173" s="49" t="s">
        <v>320</v>
      </c>
      <c r="B173" s="23">
        <v>2024.0</v>
      </c>
      <c r="C173" s="50">
        <v>6.57278588394978</v>
      </c>
      <c r="D173" s="50">
        <v>5.296380926538457</v>
      </c>
      <c r="E173" s="50">
        <v>4.531933085657714</v>
      </c>
      <c r="F173" s="50">
        <v>8.230141751814564</v>
      </c>
      <c r="G173" s="50">
        <v>6.157810411990128</v>
      </c>
      <c r="H173" s="50">
        <v>2.886673883835027</v>
      </c>
      <c r="I173" s="50">
        <v>3.532666254999751</v>
      </c>
      <c r="J173" s="50">
        <v>5.687525852390238</v>
      </c>
      <c r="K173" s="50">
        <v>4.035621997075006</v>
      </c>
      <c r="L173" s="50">
        <v>5.096716204532567</v>
      </c>
      <c r="M173" s="50">
        <v>3.839719343127031</v>
      </c>
      <c r="N173" s="50">
        <v>4.815562183405974</v>
      </c>
      <c r="O173" s="50">
        <v>5.4798193272643925</v>
      </c>
      <c r="P173" s="50">
        <v>5.47085201793722</v>
      </c>
      <c r="Q173" s="50">
        <v>3.1892887503542084</v>
      </c>
      <c r="R173" s="50">
        <v>4.559048324417765</v>
      </c>
      <c r="S173" s="50">
        <v>1.9248397052674746</v>
      </c>
      <c r="T173" s="50">
        <v>2.432051152754581</v>
      </c>
      <c r="U173" s="50">
        <v>1.284072443651231</v>
      </c>
      <c r="V173" s="50">
        <v>3.656712152813972</v>
      </c>
      <c r="W173" s="50">
        <v>2.3244188636218146</v>
      </c>
      <c r="X173" s="50">
        <v>3.44173359401979</v>
      </c>
      <c r="Y173" s="50">
        <v>5.948876056203063</v>
      </c>
    </row>
    <row r="174" ht="14.25" hidden="1" customHeight="1">
      <c r="A174" s="49" t="s">
        <v>314</v>
      </c>
      <c r="B174" s="23">
        <v>2024.0</v>
      </c>
      <c r="C174" s="50">
        <v>6.912114014251783</v>
      </c>
      <c r="D174" s="50">
        <v>6.338315875259167</v>
      </c>
      <c r="E174" s="50">
        <v>4.170822879629211</v>
      </c>
      <c r="F174" s="50">
        <v>7.46538818778382</v>
      </c>
      <c r="G174" s="50">
        <v>6.221660239230995</v>
      </c>
      <c r="H174" s="50">
        <v>4.247301082760567</v>
      </c>
      <c r="I174" s="50">
        <v>4.443306429404179</v>
      </c>
      <c r="J174" s="50">
        <v>2.8526266028481952</v>
      </c>
      <c r="K174" s="50">
        <v>3.847744705004314</v>
      </c>
      <c r="L174" s="50">
        <v>5.0347024721176545</v>
      </c>
      <c r="M174" s="50">
        <v>1.4834124305960292</v>
      </c>
      <c r="N174" s="50">
        <v>3.182690463100544</v>
      </c>
      <c r="O174" s="50">
        <v>5.351187998469672</v>
      </c>
      <c r="P174" s="50">
        <v>2.2421524663677133</v>
      </c>
      <c r="Q174" s="50">
        <v>4.003967129498442</v>
      </c>
      <c r="R174" s="50">
        <v>3.2526820976064794</v>
      </c>
      <c r="S174" s="50">
        <v>1.5613900573479045</v>
      </c>
      <c r="T174" s="50">
        <v>2.536495028378292</v>
      </c>
      <c r="U174" s="50">
        <v>1.7360215683976088</v>
      </c>
      <c r="V174" s="50">
        <v>2.3478779334450666</v>
      </c>
      <c r="W174" s="50">
        <v>2.045446146892218</v>
      </c>
      <c r="X174" s="50">
        <v>2.649064122249349</v>
      </c>
      <c r="Y174" s="50">
        <v>5.413845601760316</v>
      </c>
    </row>
    <row r="175" ht="14.25" hidden="1" customHeight="1">
      <c r="A175" s="49" t="s">
        <v>317</v>
      </c>
      <c r="B175" s="23">
        <v>2024.0</v>
      </c>
      <c r="C175" s="50">
        <v>6.776382762130981</v>
      </c>
      <c r="D175" s="50">
        <v>5.9674551588085745</v>
      </c>
      <c r="E175" s="50">
        <v>4.802765740179091</v>
      </c>
      <c r="F175" s="50">
        <v>10.0</v>
      </c>
      <c r="G175" s="50">
        <v>6.886650915279661</v>
      </c>
      <c r="H175" s="50">
        <v>1.9406926817763004</v>
      </c>
      <c r="I175" s="50">
        <v>1.5914404015086905</v>
      </c>
      <c r="J175" s="50">
        <v>2.659102995922709</v>
      </c>
      <c r="K175" s="50">
        <v>2.0637453597359</v>
      </c>
      <c r="L175" s="50">
        <v>4.475198137507781</v>
      </c>
      <c r="M175" s="50">
        <v>0.5798751919712385</v>
      </c>
      <c r="N175" s="50">
        <v>0.0</v>
      </c>
      <c r="O175" s="50">
        <v>2.368670420658168</v>
      </c>
      <c r="P175" s="50">
        <v>2.10762331838565</v>
      </c>
      <c r="Q175" s="50">
        <v>2.718900538396146</v>
      </c>
      <c r="R175" s="50">
        <v>1.5550138938822404</v>
      </c>
      <c r="S175" s="50">
        <v>0.2775140316723021</v>
      </c>
      <c r="T175" s="50">
        <v>0.6010993928812723</v>
      </c>
      <c r="U175" s="50">
        <v>3.9494682195430175</v>
      </c>
      <c r="V175" s="50">
        <v>1.7269033917891499</v>
      </c>
      <c r="W175" s="50">
        <v>1.6387462589714354</v>
      </c>
      <c r="X175" s="50">
        <v>1.5968800764268383</v>
      </c>
      <c r="Y175" s="50">
        <v>4.85541904693979</v>
      </c>
    </row>
    <row r="176" ht="14.25" hidden="1" customHeight="1">
      <c r="A176" s="51" t="s">
        <v>322</v>
      </c>
      <c r="B176" s="23">
        <v>2024.0</v>
      </c>
      <c r="C176" s="50">
        <v>6.844248388191382</v>
      </c>
      <c r="D176" s="50">
        <v>6.616206406402517</v>
      </c>
      <c r="E176" s="50">
        <v>2.997214710036576</v>
      </c>
      <c r="F176" s="50">
        <v>8.601593482915211</v>
      </c>
      <c r="G176" s="50">
        <v>6.264815746886421</v>
      </c>
      <c r="H176" s="50">
        <v>2.33044540143268</v>
      </c>
      <c r="I176" s="50">
        <v>3.028235780810417</v>
      </c>
      <c r="J176" s="50">
        <v>2.133782426283756</v>
      </c>
      <c r="K176" s="50">
        <v>2.4974878695089506</v>
      </c>
      <c r="L176" s="50">
        <v>4.381151808197686</v>
      </c>
      <c r="M176" s="50">
        <v>0.29299399820910405</v>
      </c>
      <c r="N176" s="50">
        <v>0.0</v>
      </c>
      <c r="O176" s="50">
        <v>0.8976149867211847</v>
      </c>
      <c r="P176" s="50">
        <v>0.0</v>
      </c>
      <c r="Q176" s="50">
        <v>0.0</v>
      </c>
      <c r="R176" s="50">
        <v>0.23812179698605773</v>
      </c>
      <c r="S176" s="50">
        <v>0.0</v>
      </c>
      <c r="T176" s="50">
        <v>1.8173748733147348</v>
      </c>
      <c r="U176" s="50">
        <v>8.209364820914178</v>
      </c>
      <c r="V176" s="50">
        <v>1.6448495513255663</v>
      </c>
      <c r="W176" s="50">
        <v>2.9178973113886197</v>
      </c>
      <c r="X176" s="50">
        <v>1.5780095541873387</v>
      </c>
      <c r="Y176" s="50">
        <v>4.901671033989824</v>
      </c>
    </row>
    <row r="177" ht="14.25" hidden="1" customHeight="1">
      <c r="A177" s="49" t="s">
        <v>318</v>
      </c>
      <c r="B177" s="23">
        <v>2024.0</v>
      </c>
      <c r="C177" s="50">
        <v>6.2334577536477775</v>
      </c>
      <c r="D177" s="50">
        <v>5.408822110549567</v>
      </c>
      <c r="E177" s="50">
        <v>2.780548586419474</v>
      </c>
      <c r="F177" s="50">
        <v>6.809885132900327</v>
      </c>
      <c r="G177" s="50">
        <v>5.3081783958792865</v>
      </c>
      <c r="H177" s="50">
        <v>2.368140169464013</v>
      </c>
      <c r="I177" s="50">
        <v>2.966646487708831</v>
      </c>
      <c r="J177" s="50">
        <v>3.965313478697631</v>
      </c>
      <c r="K177" s="50">
        <v>3.100033378623492</v>
      </c>
      <c r="L177" s="50">
        <v>4.204105887251389</v>
      </c>
      <c r="M177" s="50">
        <v>2.586693925842782</v>
      </c>
      <c r="N177" s="50">
        <v>1.2458740416424812</v>
      </c>
      <c r="O177" s="50">
        <v>4.304996941040872</v>
      </c>
      <c r="P177" s="50">
        <v>0.0</v>
      </c>
      <c r="Q177" s="50">
        <v>5.052422782657976</v>
      </c>
      <c r="R177" s="50">
        <v>2.6379975382368226</v>
      </c>
      <c r="S177" s="50">
        <v>1.3719536218339896</v>
      </c>
      <c r="T177" s="50">
        <v>0.0</v>
      </c>
      <c r="U177" s="50">
        <v>1.7626819909762146</v>
      </c>
      <c r="V177" s="50">
        <v>2.0624544736326857</v>
      </c>
      <c r="W177" s="50">
        <v>1.2992725216107224</v>
      </c>
      <c r="X177" s="50">
        <v>1.9686350299237727</v>
      </c>
      <c r="Y177" s="50">
        <v>5.614340059245386</v>
      </c>
    </row>
    <row r="178" ht="14.25" hidden="1" customHeight="1">
      <c r="A178" s="51" t="s">
        <v>324</v>
      </c>
      <c r="B178" s="23">
        <v>2024.0</v>
      </c>
      <c r="C178" s="50">
        <v>5.079742110620971</v>
      </c>
      <c r="D178" s="50">
        <v>5.713794082313591</v>
      </c>
      <c r="E178" s="50">
        <v>3.538880019079331</v>
      </c>
      <c r="F178" s="50">
        <v>7.66203910424887</v>
      </c>
      <c r="G178" s="50">
        <v>5.4986138290656905</v>
      </c>
      <c r="H178" s="50">
        <v>2.6440570868896263</v>
      </c>
      <c r="I178" s="50">
        <v>2.3872151946339337</v>
      </c>
      <c r="J178" s="50">
        <v>3.5227205578207172</v>
      </c>
      <c r="K178" s="50">
        <v>2.8513309464480923</v>
      </c>
      <c r="L178" s="50">
        <v>4.174972387756891</v>
      </c>
      <c r="M178" s="50">
        <v>1.3177850519700214</v>
      </c>
      <c r="N178" s="50">
        <v>2.0733780275343006</v>
      </c>
      <c r="O178" s="50">
        <v>2.368467124143407</v>
      </c>
      <c r="P178" s="50">
        <v>3.6771300448430493</v>
      </c>
      <c r="Q178" s="50">
        <v>4.047888920374044</v>
      </c>
      <c r="R178" s="50">
        <v>2.6969298337729644</v>
      </c>
      <c r="S178" s="50">
        <v>0.9118240416009618</v>
      </c>
      <c r="T178" s="50">
        <v>0.0</v>
      </c>
      <c r="U178" s="50">
        <v>0.946218690836737</v>
      </c>
      <c r="V178" s="50">
        <v>1.6002030592195147</v>
      </c>
      <c r="W178" s="50">
        <v>0.8645614479143033</v>
      </c>
      <c r="X178" s="50">
        <v>1.7807456408436337</v>
      </c>
      <c r="Y178" s="50">
        <v>4.882984611621431</v>
      </c>
    </row>
    <row r="179" ht="14.25" hidden="1" customHeight="1">
      <c r="A179" s="49" t="s">
        <v>319</v>
      </c>
      <c r="B179" s="23">
        <v>2024.0</v>
      </c>
      <c r="C179" s="50">
        <v>6.4031218187987795</v>
      </c>
      <c r="D179" s="50">
        <v>5.684937782169008</v>
      </c>
      <c r="E179" s="50">
        <v>2.2388832773767193</v>
      </c>
      <c r="F179" s="50">
        <v>7.356137678636571</v>
      </c>
      <c r="G179" s="50">
        <v>5.4207701392452705</v>
      </c>
      <c r="H179" s="50">
        <v>2.2178914042610103</v>
      </c>
      <c r="I179" s="50">
        <v>2.235742595758051</v>
      </c>
      <c r="J179" s="50">
        <v>4.136382438101991</v>
      </c>
      <c r="K179" s="50">
        <v>2.8633388127070174</v>
      </c>
      <c r="L179" s="50">
        <v>4.142054475976144</v>
      </c>
      <c r="M179" s="50">
        <v>3.6163643726549366</v>
      </c>
      <c r="N179" s="50">
        <v>3.951332757301177</v>
      </c>
      <c r="O179" s="50">
        <v>3.9421580974946546</v>
      </c>
      <c r="P179" s="50">
        <v>3.452914798206278</v>
      </c>
      <c r="Q179" s="50">
        <v>4.90507225843015</v>
      </c>
      <c r="R179" s="50">
        <v>3.973568456817439</v>
      </c>
      <c r="S179" s="50">
        <v>0.28893649181599473</v>
      </c>
      <c r="T179" s="50">
        <v>1.251681212407492</v>
      </c>
      <c r="U179" s="50">
        <v>1.5420105314364232</v>
      </c>
      <c r="V179" s="50">
        <v>2.136981738199351</v>
      </c>
      <c r="W179" s="50">
        <v>1.304902493464815</v>
      </c>
      <c r="X179" s="50">
        <v>2.6392354751411276</v>
      </c>
      <c r="Y179" s="50">
        <v>5.2069791027066135</v>
      </c>
    </row>
    <row r="180" ht="14.25" hidden="1" customHeight="1">
      <c r="A180" s="49" t="s">
        <v>327</v>
      </c>
      <c r="B180" s="23">
        <v>2024.0</v>
      </c>
      <c r="C180" s="50">
        <v>4.570749915167967</v>
      </c>
      <c r="D180" s="50">
        <v>5.141792325098917</v>
      </c>
      <c r="E180" s="50">
        <v>2.527771442199521</v>
      </c>
      <c r="F180" s="50">
        <v>6.788035031070877</v>
      </c>
      <c r="G180" s="50">
        <v>4.757087178384321</v>
      </c>
      <c r="H180" s="50">
        <v>2.6440566926093867</v>
      </c>
      <c r="I180" s="50">
        <v>2.642091809809885</v>
      </c>
      <c r="J180" s="50">
        <v>4.8011581870826685</v>
      </c>
      <c r="K180" s="50">
        <v>3.3624355631673137</v>
      </c>
      <c r="L180" s="50">
        <v>4.059761370775817</v>
      </c>
      <c r="M180" s="50">
        <v>1.5588912964783428</v>
      </c>
      <c r="N180" s="50">
        <v>0.0</v>
      </c>
      <c r="O180" s="50">
        <v>2.9564549162285916</v>
      </c>
      <c r="P180" s="50">
        <v>2.6008968609865466</v>
      </c>
      <c r="Q180" s="50">
        <v>1.8716350240861435</v>
      </c>
      <c r="R180" s="50">
        <v>1.797575619555925</v>
      </c>
      <c r="S180" s="50">
        <v>0.9012195893845976</v>
      </c>
      <c r="T180" s="50">
        <v>0.0</v>
      </c>
      <c r="U180" s="50">
        <v>0.0</v>
      </c>
      <c r="V180" s="50">
        <v>0.6156835180293645</v>
      </c>
      <c r="W180" s="50">
        <v>0.37922577685349057</v>
      </c>
      <c r="X180" s="50">
        <v>1.0884006982047079</v>
      </c>
      <c r="Y180" s="50">
        <v>4.479438995039944</v>
      </c>
    </row>
    <row r="181" ht="14.25" hidden="1" customHeight="1">
      <c r="A181" s="51" t="s">
        <v>323</v>
      </c>
      <c r="B181" s="23">
        <v>2024.0</v>
      </c>
      <c r="C181" s="50">
        <v>4.502884289107567</v>
      </c>
      <c r="D181" s="50">
        <v>6.410077544236429</v>
      </c>
      <c r="E181" s="50">
        <v>2.563882462802372</v>
      </c>
      <c r="F181" s="50">
        <v>7.093936456683173</v>
      </c>
      <c r="G181" s="50">
        <v>5.142695188207385</v>
      </c>
      <c r="H181" s="50">
        <v>2.3247654003003073</v>
      </c>
      <c r="I181" s="50">
        <v>2.4865490463925966</v>
      </c>
      <c r="J181" s="50">
        <v>3.9393133605152753</v>
      </c>
      <c r="K181" s="50">
        <v>2.9168759357360594</v>
      </c>
      <c r="L181" s="50">
        <v>4.029785561971722</v>
      </c>
      <c r="M181" s="50">
        <v>1.9785324832553806</v>
      </c>
      <c r="N181" s="50">
        <v>0.0</v>
      </c>
      <c r="O181" s="50">
        <v>4.224627792504389</v>
      </c>
      <c r="P181" s="50">
        <v>2.825112107623318</v>
      </c>
      <c r="Q181" s="50">
        <v>4.586285066591102</v>
      </c>
      <c r="R181" s="50">
        <v>2.7229114899948383</v>
      </c>
      <c r="S181" s="50">
        <v>0.0</v>
      </c>
      <c r="T181" s="50">
        <v>2.2377426215712712</v>
      </c>
      <c r="U181" s="50">
        <v>0.45946505852850755</v>
      </c>
      <c r="V181" s="50">
        <v>1.0126556719583755</v>
      </c>
      <c r="W181" s="50">
        <v>0.9274658380145385</v>
      </c>
      <c r="X181" s="50">
        <v>1.8251886640046884</v>
      </c>
      <c r="Y181" s="50">
        <v>4.43398374057424</v>
      </c>
    </row>
    <row r="182" ht="14.25" hidden="1" customHeight="1">
      <c r="A182" s="49" t="s">
        <v>328</v>
      </c>
      <c r="B182" s="23">
        <v>2024.0</v>
      </c>
      <c r="C182" s="50">
        <v>4.367153036986766</v>
      </c>
      <c r="D182" s="50">
        <v>5.2750161321292754</v>
      </c>
      <c r="E182" s="50">
        <v>2.527771442199521</v>
      </c>
      <c r="F182" s="50">
        <v>7.290587373148223</v>
      </c>
      <c r="G182" s="50">
        <v>4.865131996115947</v>
      </c>
      <c r="H182" s="50">
        <v>3.061028548609884</v>
      </c>
      <c r="I182" s="50">
        <v>3.6044400581833353</v>
      </c>
      <c r="J182" s="50">
        <v>2.5692844058382085</v>
      </c>
      <c r="K182" s="50">
        <v>3.0782510042104754</v>
      </c>
      <c r="L182" s="50">
        <v>3.971691500163211</v>
      </c>
      <c r="M182" s="50">
        <v>2.8670472425485842</v>
      </c>
      <c r="N182" s="50">
        <v>0.8353625552317047</v>
      </c>
      <c r="O182" s="50">
        <v>4.6318485378665555</v>
      </c>
      <c r="P182" s="50">
        <v>3.8565022421524664</v>
      </c>
      <c r="Q182" s="50">
        <v>5.381127798243128</v>
      </c>
      <c r="R182" s="50">
        <v>3.514377675208488</v>
      </c>
      <c r="S182" s="50">
        <v>0.3065438613258752</v>
      </c>
      <c r="T182" s="50">
        <v>0.663978422366941</v>
      </c>
      <c r="U182" s="50">
        <v>0.0</v>
      </c>
      <c r="V182" s="50">
        <v>0.9287351095183304</v>
      </c>
      <c r="W182" s="50">
        <v>0.4748143483027867</v>
      </c>
      <c r="X182" s="50">
        <v>1.9945960117556372</v>
      </c>
      <c r="Y182" s="50">
        <v>4.882731049762386</v>
      </c>
    </row>
    <row r="183" ht="14.25" hidden="1" customHeight="1">
      <c r="A183" s="51" t="s">
        <v>321</v>
      </c>
      <c r="B183" s="23">
        <v>2024.0</v>
      </c>
      <c r="C183" s="50">
        <v>5.486935866983373</v>
      </c>
      <c r="D183" s="50">
        <v>5.797888295085405</v>
      </c>
      <c r="E183" s="50">
        <v>2.401382870089545</v>
      </c>
      <c r="F183" s="50">
        <v>7.858690020713917</v>
      </c>
      <c r="G183" s="50">
        <v>5.38622426321806</v>
      </c>
      <c r="H183" s="50">
        <v>2.4571926986712085</v>
      </c>
      <c r="I183" s="50">
        <v>2.165846163551464</v>
      </c>
      <c r="J183" s="50">
        <v>2.7698989540861554</v>
      </c>
      <c r="K183" s="50">
        <v>2.464312605436276</v>
      </c>
      <c r="L183" s="50">
        <v>3.925268434327168</v>
      </c>
      <c r="M183" s="50">
        <v>0.8020096912060342</v>
      </c>
      <c r="N183" s="50">
        <v>0.0</v>
      </c>
      <c r="O183" s="50">
        <v>1.7842739541744976</v>
      </c>
      <c r="P183" s="50">
        <v>1.704035874439462</v>
      </c>
      <c r="Q183" s="50">
        <v>6.365826013034854</v>
      </c>
      <c r="R183" s="50">
        <v>2.1312291065709696</v>
      </c>
      <c r="S183" s="50">
        <v>0.2869162967138244</v>
      </c>
      <c r="T183" s="50">
        <v>0.0</v>
      </c>
      <c r="U183" s="50">
        <v>0.510409684832759</v>
      </c>
      <c r="V183" s="50">
        <v>0.8863140305615558</v>
      </c>
      <c r="W183" s="50">
        <v>0.42091000302703474</v>
      </c>
      <c r="X183" s="50">
        <v>1.2760695547990022</v>
      </c>
      <c r="Y183" s="50">
        <v>4.671023628084604</v>
      </c>
    </row>
    <row r="184" ht="14.25" hidden="1" customHeight="1">
      <c r="A184" s="51" t="s">
        <v>326</v>
      </c>
      <c r="B184" s="23">
        <v>2024.0</v>
      </c>
      <c r="C184" s="50">
        <v>4.265354597896166</v>
      </c>
      <c r="D184" s="50">
        <v>7.897671915106713</v>
      </c>
      <c r="E184" s="50">
        <v>1.2458302107983357</v>
      </c>
      <c r="F184" s="50">
        <v>6.023281467040134</v>
      </c>
      <c r="G184" s="50">
        <v>4.8580345477103375</v>
      </c>
      <c r="H184" s="50">
        <v>2.1230177215956476</v>
      </c>
      <c r="I184" s="50">
        <v>2.0895169303073793</v>
      </c>
      <c r="J184" s="50">
        <v>4.596111800508185</v>
      </c>
      <c r="K184" s="50">
        <v>2.9362154841370702</v>
      </c>
      <c r="L184" s="50">
        <v>3.8971250159237036</v>
      </c>
      <c r="M184" s="50">
        <v>2.023503467842271</v>
      </c>
      <c r="N184" s="50">
        <v>0.0</v>
      </c>
      <c r="O184" s="50">
        <v>4.501796640915171</v>
      </c>
      <c r="P184" s="50">
        <v>2.42152466367713</v>
      </c>
      <c r="Q184" s="50">
        <v>5.410881269481439</v>
      </c>
      <c r="R184" s="50">
        <v>2.871541208383203</v>
      </c>
      <c r="S184" s="50">
        <v>1.4412483187604224</v>
      </c>
      <c r="T184" s="50">
        <v>3.121764633584511</v>
      </c>
      <c r="U184" s="50">
        <v>0.6409770973012897</v>
      </c>
      <c r="V184" s="50">
        <v>0.8454831991526535</v>
      </c>
      <c r="W184" s="50">
        <v>1.5123683121997191</v>
      </c>
      <c r="X184" s="50">
        <v>2.191954760291461</v>
      </c>
      <c r="Y184" s="50">
        <v>4.2632577112262915</v>
      </c>
    </row>
    <row r="185" ht="14.25" hidden="1" customHeight="1">
      <c r="A185" s="49" t="s">
        <v>330</v>
      </c>
      <c r="B185" s="23">
        <v>2024.0</v>
      </c>
      <c r="C185" s="50">
        <v>6.53885307091958</v>
      </c>
      <c r="D185" s="50">
        <v>8.665185913810845</v>
      </c>
      <c r="E185" s="50">
        <v>2.545826952500947</v>
      </c>
      <c r="F185" s="50">
        <v>5.4988790231333375</v>
      </c>
      <c r="G185" s="50">
        <v>5.812186240091178</v>
      </c>
      <c r="H185" s="50">
        <v>0.36973392904871893</v>
      </c>
      <c r="I185" s="50">
        <v>0.0790012265085995</v>
      </c>
      <c r="J185" s="50">
        <v>0.5909117768717131</v>
      </c>
      <c r="K185" s="50">
        <v>0.3465489774763439</v>
      </c>
      <c r="L185" s="50">
        <v>3.0793676087837607</v>
      </c>
      <c r="M185" s="50">
        <v>0.9778293607619932</v>
      </c>
      <c r="N185" s="50">
        <v>0.0</v>
      </c>
      <c r="O185" s="50">
        <v>0.8559066485426813</v>
      </c>
      <c r="P185" s="50">
        <v>0.0</v>
      </c>
      <c r="Q185" s="50">
        <v>0.0</v>
      </c>
      <c r="R185" s="50">
        <v>0.3667472018609349</v>
      </c>
      <c r="S185" s="50">
        <v>2.846793550008549</v>
      </c>
      <c r="T185" s="50">
        <v>0.0</v>
      </c>
      <c r="U185" s="50">
        <v>0.0</v>
      </c>
      <c r="V185" s="50">
        <v>2.409904882402483</v>
      </c>
      <c r="W185" s="50">
        <v>1.314174608102758</v>
      </c>
      <c r="X185" s="50">
        <v>0.8404609049818466</v>
      </c>
      <c r="Y185" s="50">
        <v>4.658733936671094</v>
      </c>
    </row>
    <row r="186" ht="14.25" hidden="1" customHeight="1">
      <c r="A186" s="51" t="s">
        <v>332</v>
      </c>
      <c r="B186" s="23">
        <v>2024.0</v>
      </c>
      <c r="C186" s="50">
        <v>0.4648795385137428</v>
      </c>
      <c r="D186" s="50">
        <v>1.2863122484669436</v>
      </c>
      <c r="E186" s="50">
        <v>3.358324916065079</v>
      </c>
      <c r="F186" s="50">
        <v>7.683889206078318</v>
      </c>
      <c r="G186" s="50">
        <v>3.1983514772810206</v>
      </c>
      <c r="H186" s="50">
        <v>1.1430337916696551</v>
      </c>
      <c r="I186" s="50">
        <v>1.0735043813410554</v>
      </c>
      <c r="J186" s="50">
        <v>5.318205991845418</v>
      </c>
      <c r="K186" s="50">
        <v>2.511581388285376</v>
      </c>
      <c r="L186" s="50">
        <v>2.854966432783198</v>
      </c>
      <c r="M186" s="50">
        <v>0.0</v>
      </c>
      <c r="N186" s="50">
        <v>0.0</v>
      </c>
      <c r="O186" s="50">
        <v>0.26979515088364664</v>
      </c>
      <c r="P186" s="50">
        <v>0.0</v>
      </c>
      <c r="Q186" s="50">
        <v>0.0</v>
      </c>
      <c r="R186" s="50">
        <v>0.05395903017672933</v>
      </c>
      <c r="S186" s="50">
        <v>0.0</v>
      </c>
      <c r="T186" s="50">
        <v>0.0</v>
      </c>
      <c r="U186" s="50">
        <v>0.0</v>
      </c>
      <c r="V186" s="50">
        <v>0.3878808474138188</v>
      </c>
      <c r="W186" s="50">
        <v>0.0969702118534547</v>
      </c>
      <c r="X186" s="50">
        <v>0.07546462101509202</v>
      </c>
      <c r="Y186" s="50">
        <v>3.3492275241923393</v>
      </c>
    </row>
    <row r="187" ht="14.25" hidden="1" customHeight="1">
      <c r="A187" s="49" t="s">
        <v>325</v>
      </c>
      <c r="B187" s="23">
        <v>2024.0</v>
      </c>
      <c r="C187" s="50">
        <v>3.484899898201561</v>
      </c>
      <c r="D187" s="50">
        <v>0.6333755424169629</v>
      </c>
      <c r="E187" s="50">
        <v>2.2749942979795694</v>
      </c>
      <c r="F187" s="50">
        <v>4.9307763755676435</v>
      </c>
      <c r="G187" s="50">
        <v>2.831011528541434</v>
      </c>
      <c r="H187" s="50">
        <v>2.4431038828678573</v>
      </c>
      <c r="I187" s="50">
        <v>1.169050129141286</v>
      </c>
      <c r="J187" s="50">
        <v>3.2500147727944224</v>
      </c>
      <c r="K187" s="50">
        <v>2.287389594934522</v>
      </c>
      <c r="L187" s="50">
        <v>2.559200561737978</v>
      </c>
      <c r="M187" s="50">
        <v>0.7881693708228701</v>
      </c>
      <c r="N187" s="50">
        <v>0.0</v>
      </c>
      <c r="O187" s="50">
        <v>2.817070489240386</v>
      </c>
      <c r="P187" s="50">
        <v>0.0</v>
      </c>
      <c r="Q187" s="50">
        <v>5.100595069424766</v>
      </c>
      <c r="R187" s="50">
        <v>1.7411669858976044</v>
      </c>
      <c r="S187" s="50">
        <v>0.0</v>
      </c>
      <c r="T187" s="50">
        <v>0.0</v>
      </c>
      <c r="U187" s="50">
        <v>1.0032330234803235</v>
      </c>
      <c r="V187" s="50">
        <v>0.6365328107259095</v>
      </c>
      <c r="W187" s="50">
        <v>0.4099414585515583</v>
      </c>
      <c r="X187" s="50">
        <v>1.0755542222245815</v>
      </c>
      <c r="Y187" s="50">
        <v>4.006000264615092</v>
      </c>
    </row>
    <row r="188" ht="14.25" hidden="1" customHeight="1">
      <c r="A188" s="51" t="s">
        <v>331</v>
      </c>
      <c r="B188" s="23">
        <v>2024.0</v>
      </c>
      <c r="C188" s="50">
        <v>2.840176450627757</v>
      </c>
      <c r="D188" s="50">
        <v>3.254723068406174</v>
      </c>
      <c r="E188" s="50">
        <v>2.636104504008072</v>
      </c>
      <c r="F188" s="50">
        <v>6.110681874357931</v>
      </c>
      <c r="G188" s="50">
        <v>3.7104214743499844</v>
      </c>
      <c r="H188" s="50">
        <v>1.6782518686616248</v>
      </c>
      <c r="I188" s="50">
        <v>1.1735964604733038</v>
      </c>
      <c r="J188" s="50">
        <v>0.8441174732612422</v>
      </c>
      <c r="K188" s="50">
        <v>1.2319886007987235</v>
      </c>
      <c r="L188" s="50">
        <v>2.4712050375743537</v>
      </c>
      <c r="M188" s="50">
        <v>0.0</v>
      </c>
      <c r="N188" s="50">
        <v>0.0</v>
      </c>
      <c r="O188" s="50">
        <v>0.12760205059462812</v>
      </c>
      <c r="P188" s="50">
        <v>4.4843049327354265</v>
      </c>
      <c r="Q188" s="50">
        <v>0.0</v>
      </c>
      <c r="R188" s="50">
        <v>0.9223813966660108</v>
      </c>
      <c r="S188" s="50">
        <v>0.0</v>
      </c>
      <c r="T188" s="50">
        <v>0.0</v>
      </c>
      <c r="U188" s="50">
        <v>0.0</v>
      </c>
      <c r="V188" s="50">
        <v>1.4221590716424317</v>
      </c>
      <c r="W188" s="50">
        <v>0.35553976791060793</v>
      </c>
      <c r="X188" s="50">
        <v>0.6389605822883093</v>
      </c>
      <c r="Y188" s="50">
        <v>3.6533175443301764</v>
      </c>
    </row>
    <row r="189" ht="14.25" hidden="1" customHeight="1">
      <c r="A189" s="49" t="s">
        <v>334</v>
      </c>
      <c r="B189" s="23">
        <v>2024.0</v>
      </c>
      <c r="C189" s="50">
        <v>0.3291482863929419</v>
      </c>
      <c r="D189" s="50">
        <v>0.10184004524465101</v>
      </c>
      <c r="E189" s="50">
        <v>1.6069404168268389</v>
      </c>
      <c r="F189" s="50">
        <v>5.389628513986089</v>
      </c>
      <c r="G189" s="50">
        <v>1.85688931561263</v>
      </c>
      <c r="H189" s="50">
        <v>0.7642609881269997</v>
      </c>
      <c r="I189" s="50">
        <v>0.6783344716853634</v>
      </c>
      <c r="J189" s="50">
        <v>5.170478047627489</v>
      </c>
      <c r="K189" s="50">
        <v>2.2043578358132843</v>
      </c>
      <c r="L189" s="50">
        <v>2.030623575712957</v>
      </c>
      <c r="M189" s="50">
        <v>0.0</v>
      </c>
      <c r="N189" s="50">
        <v>0.0</v>
      </c>
      <c r="O189" s="50">
        <v>0.0</v>
      </c>
      <c r="P189" s="50">
        <v>0.0</v>
      </c>
      <c r="Q189" s="50">
        <v>0.0</v>
      </c>
      <c r="R189" s="50">
        <v>0.0</v>
      </c>
      <c r="S189" s="50">
        <v>0.0</v>
      </c>
      <c r="T189" s="50">
        <v>9.384312080542085</v>
      </c>
      <c r="U189" s="50">
        <v>0.0</v>
      </c>
      <c r="V189" s="50">
        <v>0.7077874494428147</v>
      </c>
      <c r="W189" s="50">
        <v>2.523024882496225</v>
      </c>
      <c r="X189" s="50">
        <v>1.2615124412481125</v>
      </c>
      <c r="Y189" s="50">
        <v>2.936882339245044</v>
      </c>
    </row>
    <row r="190" ht="14.25" hidden="1" customHeight="1">
      <c r="A190" s="49" t="s">
        <v>329</v>
      </c>
      <c r="B190" s="52">
        <v>2024.0</v>
      </c>
      <c r="C190" s="50">
        <v>3.2473702069901593</v>
      </c>
      <c r="D190" s="50">
        <v>1.166857052468298</v>
      </c>
      <c r="E190" s="50">
        <v>1.3361077623054616</v>
      </c>
      <c r="F190" s="50">
        <v>7.530938493272169</v>
      </c>
      <c r="G190" s="50">
        <v>3.320318378759022</v>
      </c>
      <c r="H190" s="50">
        <v>0.1879987324678856</v>
      </c>
      <c r="I190" s="50">
        <v>0.6869145726448547</v>
      </c>
      <c r="J190" s="50">
        <v>0.36931986054482063</v>
      </c>
      <c r="K190" s="50">
        <v>0.4147443885525203</v>
      </c>
      <c r="L190" s="50">
        <v>1.8675313836557712</v>
      </c>
      <c r="M190" s="50">
        <v>0.0</v>
      </c>
      <c r="N190" s="50">
        <v>0.0</v>
      </c>
      <c r="O190" s="50">
        <v>0.6573585300702898</v>
      </c>
      <c r="P190" s="50">
        <v>0.0</v>
      </c>
      <c r="Q190" s="50">
        <v>0.0</v>
      </c>
      <c r="R190" s="50">
        <v>0.13147170601405794</v>
      </c>
      <c r="S190" s="50">
        <v>1.6134780221205878</v>
      </c>
      <c r="T190" s="50">
        <v>0.0</v>
      </c>
      <c r="U190" s="50">
        <v>0.0</v>
      </c>
      <c r="V190" s="50">
        <v>0.8626500017657437</v>
      </c>
      <c r="W190" s="50">
        <v>0.6190320059715828</v>
      </c>
      <c r="X190" s="50">
        <v>0.3752518559928204</v>
      </c>
      <c r="Y190" s="50">
        <v>3.846172235366985</v>
      </c>
    </row>
    <row r="191" ht="14.25" hidden="1" customHeight="1">
      <c r="A191" s="51" t="s">
        <v>333</v>
      </c>
      <c r="B191" s="23">
        <v>2024.0</v>
      </c>
      <c r="C191" s="50">
        <v>0.9738717339667459</v>
      </c>
      <c r="D191" s="50">
        <v>0.22851484159017404</v>
      </c>
      <c r="E191" s="50">
        <v>0.0</v>
      </c>
      <c r="F191" s="50">
        <v>1.631410999320722</v>
      </c>
      <c r="G191" s="50">
        <v>0.7084493937194105</v>
      </c>
      <c r="H191" s="50">
        <v>0.9852526967684122</v>
      </c>
      <c r="I191" s="50">
        <v>0.41339162989769385</v>
      </c>
      <c r="J191" s="50">
        <v>3.5454706612302784</v>
      </c>
      <c r="K191" s="50">
        <v>1.6480383292987946</v>
      </c>
      <c r="L191" s="50">
        <v>1.1782438615091027</v>
      </c>
      <c r="M191" s="50">
        <v>0.0</v>
      </c>
      <c r="N191" s="50">
        <v>0.0</v>
      </c>
      <c r="O191" s="50">
        <v>0.0</v>
      </c>
      <c r="P191" s="50">
        <v>0.0</v>
      </c>
      <c r="Q191" s="50">
        <v>0.0</v>
      </c>
      <c r="R191" s="50">
        <v>0.0</v>
      </c>
      <c r="S191" s="50">
        <v>0.0</v>
      </c>
      <c r="T191" s="50">
        <v>0.0</v>
      </c>
      <c r="U191" s="50">
        <v>0.0</v>
      </c>
      <c r="V191" s="50">
        <v>0.3215912459323617</v>
      </c>
      <c r="W191" s="50">
        <v>0.08039781148309043</v>
      </c>
      <c r="X191" s="50">
        <v>0.040198905741545214</v>
      </c>
      <c r="Y191" s="50">
        <v>3.0923833280492707</v>
      </c>
    </row>
    <row r="192" ht="14.25" hidden="1" customHeight="1">
      <c r="A192" s="49" t="s">
        <v>336</v>
      </c>
      <c r="B192" s="23">
        <v>2024.0</v>
      </c>
      <c r="C192" s="50">
        <v>0.023752969121140145</v>
      </c>
      <c r="D192" s="50">
        <v>0.2827423881368665</v>
      </c>
      <c r="E192" s="50">
        <v>3.1236032821465507</v>
      </c>
      <c r="F192" s="50">
        <v>4.974476579226544</v>
      </c>
      <c r="G192" s="50">
        <v>2.101143804657775</v>
      </c>
      <c r="H192" s="50">
        <v>0.0</v>
      </c>
      <c r="I192" s="50">
        <v>0.0</v>
      </c>
      <c r="J192" s="50">
        <v>0.0</v>
      </c>
      <c r="K192" s="50">
        <v>0.0</v>
      </c>
      <c r="L192" s="50">
        <v>1.0505719023288875</v>
      </c>
      <c r="M192" s="50">
        <v>0.0</v>
      </c>
      <c r="N192" s="50">
        <v>0.0</v>
      </c>
      <c r="O192" s="50">
        <v>0.24222344816949945</v>
      </c>
      <c r="P192" s="50">
        <v>0.0</v>
      </c>
      <c r="Q192" s="50">
        <v>0.0</v>
      </c>
      <c r="R192" s="50">
        <v>0.04844468963389989</v>
      </c>
      <c r="S192" s="50">
        <v>0.0</v>
      </c>
      <c r="T192" s="50">
        <v>0.0</v>
      </c>
      <c r="U192" s="50">
        <v>0.0</v>
      </c>
      <c r="V192" s="50">
        <v>0.06997399204909574</v>
      </c>
      <c r="W192" s="50">
        <v>0.017493498012273935</v>
      </c>
      <c r="X192" s="50">
        <v>0.03296909382308691</v>
      </c>
      <c r="Y192" s="50">
        <v>2.451892229325104</v>
      </c>
    </row>
    <row r="193" ht="14.25" hidden="1" customHeight="1">
      <c r="A193" s="51" t="s">
        <v>335</v>
      </c>
      <c r="B193" s="23">
        <v>2024.0</v>
      </c>
      <c r="C193" s="50">
        <v>0.3291482863929419</v>
      </c>
      <c r="D193" s="50">
        <v>0.19056138858009386</v>
      </c>
      <c r="E193" s="50">
        <v>2.202772256773869</v>
      </c>
      <c r="F193" s="50">
        <v>1.3036594718789751</v>
      </c>
      <c r="G193" s="50">
        <v>1.0065353509064698</v>
      </c>
      <c r="H193" s="50">
        <v>0.43126688036918515</v>
      </c>
      <c r="I193" s="50">
        <v>0.056227109115591464</v>
      </c>
      <c r="J193" s="50">
        <v>2.215919163268924</v>
      </c>
      <c r="K193" s="50">
        <v>0.901137717584567</v>
      </c>
      <c r="L193" s="50">
        <v>0.9538365342455185</v>
      </c>
      <c r="M193" s="50">
        <v>4.140478106756936</v>
      </c>
      <c r="N193" s="50">
        <v>0.0</v>
      </c>
      <c r="O193" s="50">
        <v>3.3221960549544427</v>
      </c>
      <c r="P193" s="50">
        <v>4.0807174887892375</v>
      </c>
      <c r="Q193" s="50">
        <v>10.0</v>
      </c>
      <c r="R193" s="50">
        <v>4.308678330100124</v>
      </c>
      <c r="S193" s="50">
        <v>0.0</v>
      </c>
      <c r="T193" s="50">
        <v>0.0</v>
      </c>
      <c r="U193" s="50">
        <v>0.0</v>
      </c>
      <c r="V193" s="50">
        <v>0.2200799082771273</v>
      </c>
      <c r="W193" s="50">
        <v>0.05501997706928183</v>
      </c>
      <c r="X193" s="50">
        <v>2.1818491535847024</v>
      </c>
      <c r="Y193" s="50">
        <v>3.106337100280205</v>
      </c>
    </row>
  </sheetData>
  <autoFilter ref="$A$1:$Y$193">
    <filterColumn colId="0">
      <filters>
        <filter val="Pereira AM"/>
        <filter val="Manizales AM"/>
        <filter val="Bucaramanga AM"/>
        <filter val="Bogotá D.C."/>
        <filter val="Medellín AM"/>
        <filter val="Tunja"/>
      </filters>
    </filterColumn>
    <sortState ref="A1:Y193">
      <sortCondition descending="1" ref="X1:X193"/>
      <sortCondition descending="1" ref="L1:L193"/>
      <sortCondition descending="1" ref="C1:C193"/>
    </sortState>
  </autoFilter>
  <conditionalFormatting sqref="C2:Y35">
    <cfRule type="cellIs" dxfId="0" priority="1" operator="equal">
      <formula>"n/a"</formula>
    </cfRule>
  </conditionalFormatting>
  <conditionalFormatting sqref="C2:Y35">
    <cfRule type="cellIs" dxfId="1" priority="2" operator="equal">
      <formula>0</formula>
    </cfRule>
  </conditionalFormatting>
  <conditionalFormatting sqref="C2:Y193">
    <cfRule type="cellIs" dxfId="2" priority="3" operator="equal">
      <formula>10</formula>
    </cfRule>
  </conditionalFormatting>
  <conditionalFormatting sqref="C34:Y161">
    <cfRule type="cellIs" dxfId="0" priority="4" operator="equal">
      <formula>"n/a"</formula>
    </cfRule>
  </conditionalFormatting>
  <conditionalFormatting sqref="C34:Y161">
    <cfRule type="cellIs" dxfId="1" priority="5" operator="equal">
      <formula>0</formula>
    </cfRule>
  </conditionalFormatting>
  <conditionalFormatting sqref="C162:Y193">
    <cfRule type="cellIs" dxfId="0" priority="6" operator="equal">
      <formula>"n/a"</formula>
    </cfRule>
  </conditionalFormatting>
  <conditionalFormatting sqref="C162:Y193">
    <cfRule type="cellIs" dxfId="1" priority="7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5.43"/>
    <col customWidth="1" min="2" max="2" width="11.43"/>
    <col customWidth="1" min="3" max="18" width="11.71"/>
  </cols>
  <sheetData>
    <row r="1" ht="14.25" customHeight="1">
      <c r="A1" s="55" t="s">
        <v>301</v>
      </c>
      <c r="B1" s="56" t="s">
        <v>12</v>
      </c>
      <c r="C1" s="57" t="s">
        <v>104</v>
      </c>
      <c r="D1" s="57" t="s">
        <v>106</v>
      </c>
      <c r="E1" s="57" t="s">
        <v>108</v>
      </c>
      <c r="F1" s="57" t="s">
        <v>111</v>
      </c>
      <c r="G1" s="57" t="s">
        <v>115</v>
      </c>
      <c r="H1" s="57" t="s">
        <v>117</v>
      </c>
      <c r="I1" s="57" t="s">
        <v>119</v>
      </c>
      <c r="J1" s="58" t="s">
        <v>275</v>
      </c>
      <c r="K1" s="58" t="s">
        <v>277</v>
      </c>
      <c r="L1" s="58" t="s">
        <v>279</v>
      </c>
      <c r="M1" s="58" t="s">
        <v>281</v>
      </c>
      <c r="N1" s="58" t="s">
        <v>283</v>
      </c>
      <c r="O1" s="58" t="s">
        <v>287</v>
      </c>
      <c r="P1" s="58" t="s">
        <v>289</v>
      </c>
      <c r="Q1" s="58" t="s">
        <v>291</v>
      </c>
      <c r="R1" s="58" t="s">
        <v>293</v>
      </c>
    </row>
    <row r="2" ht="14.25" customHeight="1">
      <c r="A2" s="59" t="s">
        <v>329</v>
      </c>
      <c r="B2" s="18">
        <v>2019.0</v>
      </c>
      <c r="C2" s="60">
        <v>7.99</v>
      </c>
      <c r="D2" s="60">
        <v>5.58905823960736</v>
      </c>
      <c r="E2" s="60">
        <v>22.427528</v>
      </c>
      <c r="F2" s="60">
        <v>68.294633</v>
      </c>
      <c r="G2" s="60">
        <v>1312.722</v>
      </c>
      <c r="H2" s="60">
        <v>368.053</v>
      </c>
      <c r="I2" s="60">
        <v>0.5</v>
      </c>
      <c r="J2" s="60">
        <v>0.0</v>
      </c>
      <c r="K2" s="60">
        <v>0.0</v>
      </c>
      <c r="L2" s="60">
        <v>11.68429047146112</v>
      </c>
      <c r="M2" s="60">
        <v>0.0</v>
      </c>
      <c r="N2" s="60">
        <v>0.0</v>
      </c>
      <c r="O2" s="60">
        <v>0.0</v>
      </c>
      <c r="P2" s="60">
        <v>0.0</v>
      </c>
      <c r="Q2" s="60">
        <v>0.0</v>
      </c>
      <c r="R2" s="60">
        <v>93.47432377168896</v>
      </c>
    </row>
    <row r="3" ht="14.25" customHeight="1">
      <c r="A3" s="61" t="s">
        <v>306</v>
      </c>
      <c r="B3" s="18">
        <v>2019.0</v>
      </c>
      <c r="C3" s="60">
        <v>24.6</v>
      </c>
      <c r="D3" s="60">
        <v>8.774267717643978</v>
      </c>
      <c r="E3" s="60">
        <v>41.7978921</v>
      </c>
      <c r="F3" s="60">
        <v>74.6341675</v>
      </c>
      <c r="G3" s="60">
        <v>10558.9</v>
      </c>
      <c r="H3" s="60">
        <v>1157.081</v>
      </c>
      <c r="I3" s="60">
        <v>1.2105</v>
      </c>
      <c r="J3" s="60">
        <v>2.3712094523183653</v>
      </c>
      <c r="K3" s="60">
        <v>0.0</v>
      </c>
      <c r="L3" s="60">
        <v>430.20514349204626</v>
      </c>
      <c r="M3" s="60">
        <v>1.61</v>
      </c>
      <c r="N3" s="60">
        <v>25.0</v>
      </c>
      <c r="O3" s="60">
        <v>20.324652448443132</v>
      </c>
      <c r="P3" s="60">
        <v>13.549768298962087</v>
      </c>
      <c r="Q3" s="60">
        <v>16.93721037370261</v>
      </c>
      <c r="R3" s="60">
        <v>752.0121405923958</v>
      </c>
    </row>
    <row r="4" ht="14.25" customHeight="1">
      <c r="A4" s="59" t="s">
        <v>320</v>
      </c>
      <c r="B4" s="18">
        <v>2019.0</v>
      </c>
      <c r="C4" s="60">
        <v>13.838172901114609</v>
      </c>
      <c r="D4" s="60">
        <v>11.52131872118575</v>
      </c>
      <c r="E4" s="60">
        <v>44.9828088</v>
      </c>
      <c r="F4" s="60">
        <v>77.6434464</v>
      </c>
      <c r="G4" s="60">
        <v>7585.936</v>
      </c>
      <c r="H4" s="60">
        <v>907.957</v>
      </c>
      <c r="I4" s="60">
        <v>2.2895</v>
      </c>
      <c r="J4" s="60">
        <v>5.523891382618966</v>
      </c>
      <c r="K4" s="60">
        <v>0.6076280520880862</v>
      </c>
      <c r="L4" s="60">
        <v>475.6070480434929</v>
      </c>
      <c r="M4" s="60">
        <v>1.63</v>
      </c>
      <c r="N4" s="60">
        <v>21.6</v>
      </c>
      <c r="O4" s="60">
        <v>11.04778276523793</v>
      </c>
      <c r="P4" s="60">
        <v>3.866723967833275</v>
      </c>
      <c r="Q4" s="60">
        <v>3.314334829571379</v>
      </c>
      <c r="R4" s="60">
        <v>1083.787489269841</v>
      </c>
    </row>
    <row r="5" ht="14.25" customHeight="1">
      <c r="A5" s="61" t="s">
        <v>305</v>
      </c>
      <c r="B5" s="18">
        <v>2019.0</v>
      </c>
      <c r="C5" s="60">
        <v>25.31</v>
      </c>
      <c r="D5" s="60">
        <v>12.107394337920041</v>
      </c>
      <c r="E5" s="60">
        <v>63.8970816</v>
      </c>
      <c r="F5" s="60">
        <v>87.1739279</v>
      </c>
      <c r="G5" s="60">
        <v>10166.292</v>
      </c>
      <c r="H5" s="60">
        <v>1601.455</v>
      </c>
      <c r="I5" s="60">
        <v>2.7656</v>
      </c>
      <c r="J5" s="60">
        <v>6.043791043479411</v>
      </c>
      <c r="K5" s="60">
        <v>1.5109477608698527</v>
      </c>
      <c r="L5" s="60">
        <v>588.4601904387766</v>
      </c>
      <c r="M5" s="60">
        <v>2.14</v>
      </c>
      <c r="N5" s="60">
        <v>18.8</v>
      </c>
      <c r="O5" s="60">
        <v>29.544424967008727</v>
      </c>
      <c r="P5" s="60">
        <v>18.347222810562496</v>
      </c>
      <c r="Q5" s="60">
        <v>38.448224272134645</v>
      </c>
      <c r="R5" s="60">
        <v>3325.0294162642194</v>
      </c>
    </row>
    <row r="6" ht="14.25" customHeight="1">
      <c r="A6" s="59" t="s">
        <v>310</v>
      </c>
      <c r="B6" s="18">
        <v>2019.0</v>
      </c>
      <c r="C6" s="60">
        <v>21.283309121471515</v>
      </c>
      <c r="D6" s="60">
        <v>9.425301036274417</v>
      </c>
      <c r="E6" s="60">
        <v>50.178464</v>
      </c>
      <c r="F6" s="60">
        <v>80.1755219</v>
      </c>
      <c r="G6" s="60">
        <v>9643.108</v>
      </c>
      <c r="H6" s="60">
        <v>1428.933</v>
      </c>
      <c r="I6" s="60">
        <v>2.6667</v>
      </c>
      <c r="J6" s="60">
        <v>5.066053867932128</v>
      </c>
      <c r="K6" s="60">
        <v>0.8305006340872342</v>
      </c>
      <c r="L6" s="60">
        <v>522.3848988408703</v>
      </c>
      <c r="M6" s="60">
        <v>1.36</v>
      </c>
      <c r="N6" s="60">
        <v>22.6</v>
      </c>
      <c r="O6" s="60">
        <v>14.11851077948298</v>
      </c>
      <c r="P6" s="60">
        <v>6.644005072697873</v>
      </c>
      <c r="Q6" s="60">
        <v>14.949011413570215</v>
      </c>
      <c r="R6" s="60">
        <v>1073.0068192407066</v>
      </c>
    </row>
    <row r="7" ht="14.25" customHeight="1">
      <c r="A7" s="61" t="s">
        <v>311</v>
      </c>
      <c r="B7" s="18">
        <v>2019.0</v>
      </c>
      <c r="C7" s="60">
        <v>21.094539190124436</v>
      </c>
      <c r="D7" s="60">
        <v>10.080154123305004</v>
      </c>
      <c r="E7" s="60">
        <v>50.9490479</v>
      </c>
      <c r="F7" s="60">
        <v>82.9603413</v>
      </c>
      <c r="G7" s="60">
        <v>6283.943</v>
      </c>
      <c r="H7" s="60">
        <v>953.934</v>
      </c>
      <c r="I7" s="60">
        <v>1.8246</v>
      </c>
      <c r="J7" s="60">
        <v>5.610336037715163</v>
      </c>
      <c r="K7" s="60">
        <v>0.5567509045060849</v>
      </c>
      <c r="L7" s="60">
        <v>431.6960859554873</v>
      </c>
      <c r="M7" s="60">
        <v>1.51</v>
      </c>
      <c r="N7" s="60">
        <v>22.98</v>
      </c>
      <c r="O7" s="60">
        <v>16.702527135182546</v>
      </c>
      <c r="P7" s="60">
        <v>10.278478237035412</v>
      </c>
      <c r="Q7" s="60">
        <v>13.276367722837408</v>
      </c>
      <c r="R7" s="60">
        <v>1997.4509373972155</v>
      </c>
    </row>
    <row r="8" ht="14.25" customHeight="1">
      <c r="A8" s="59" t="s">
        <v>318</v>
      </c>
      <c r="B8" s="18">
        <v>2019.0</v>
      </c>
      <c r="C8" s="60">
        <v>15.479999999999999</v>
      </c>
      <c r="D8" s="60">
        <v>9.994844163974825</v>
      </c>
      <c r="E8" s="60">
        <v>30.9877813</v>
      </c>
      <c r="F8" s="60">
        <v>66.8982851</v>
      </c>
      <c r="G8" s="60">
        <v>4942.26</v>
      </c>
      <c r="H8" s="60">
        <v>941.383</v>
      </c>
      <c r="I8" s="60">
        <v>1.5897</v>
      </c>
      <c r="J8" s="60">
        <v>3.905266457358087</v>
      </c>
      <c r="K8" s="60">
        <v>0.5138508496523799</v>
      </c>
      <c r="L8" s="60">
        <v>350.4462794629231</v>
      </c>
      <c r="M8" s="60">
        <v>0.0</v>
      </c>
      <c r="N8" s="60">
        <v>23.88</v>
      </c>
      <c r="O8" s="60">
        <v>2.0554033986095197</v>
      </c>
      <c r="P8" s="60">
        <v>1.0277016993047599</v>
      </c>
      <c r="Q8" s="60">
        <v>8.221613594438079</v>
      </c>
      <c r="R8" s="60">
        <v>612.5102127856368</v>
      </c>
    </row>
    <row r="9" ht="14.25" customHeight="1">
      <c r="A9" s="61" t="s">
        <v>324</v>
      </c>
      <c r="B9" s="18">
        <v>2019.0</v>
      </c>
      <c r="C9" s="60">
        <v>13.068040718354137</v>
      </c>
      <c r="D9" s="60">
        <v>8.8377630071292</v>
      </c>
      <c r="E9" s="60">
        <v>39.469189</v>
      </c>
      <c r="F9" s="60">
        <v>74.5790211</v>
      </c>
      <c r="G9" s="60">
        <v>5727.211</v>
      </c>
      <c r="H9" s="60">
        <v>952.619</v>
      </c>
      <c r="I9" s="60">
        <v>1.7391</v>
      </c>
      <c r="J9" s="60">
        <v>0.860716675740055</v>
      </c>
      <c r="K9" s="60">
        <v>0.3227687534025206</v>
      </c>
      <c r="L9" s="60">
        <v>145.24593903113427</v>
      </c>
      <c r="M9" s="60">
        <v>1.12</v>
      </c>
      <c r="N9" s="60">
        <v>29.79</v>
      </c>
      <c r="O9" s="60">
        <v>2.151791689350137</v>
      </c>
      <c r="P9" s="60">
        <v>5.379479223375344</v>
      </c>
      <c r="Q9" s="60">
        <v>4.303583378700274</v>
      </c>
      <c r="R9" s="60">
        <v>568.0730059884363</v>
      </c>
    </row>
    <row r="10" ht="14.25" customHeight="1">
      <c r="A10" s="59" t="s">
        <v>327</v>
      </c>
      <c r="B10" s="18">
        <v>2019.0</v>
      </c>
      <c r="C10" s="60">
        <v>11.360000000000001</v>
      </c>
      <c r="D10" s="60">
        <v>6.185312530380506</v>
      </c>
      <c r="E10" s="60">
        <v>32.6068438</v>
      </c>
      <c r="F10" s="60">
        <v>67.6345425</v>
      </c>
      <c r="G10" s="60">
        <v>4545.18</v>
      </c>
      <c r="H10" s="60">
        <v>513.068</v>
      </c>
      <c r="I10" s="60">
        <v>2.4286</v>
      </c>
      <c r="J10" s="60">
        <v>0.0</v>
      </c>
      <c r="K10" s="60">
        <v>0.0</v>
      </c>
      <c r="L10" s="60">
        <v>279.18691266795764</v>
      </c>
      <c r="M10" s="60">
        <v>1.4</v>
      </c>
      <c r="N10" s="60">
        <v>15.16</v>
      </c>
      <c r="O10" s="60">
        <v>5.940147078041652</v>
      </c>
      <c r="P10" s="60">
        <v>0.0</v>
      </c>
      <c r="Q10" s="60">
        <v>0.0</v>
      </c>
      <c r="R10" s="60">
        <v>160.3839711071246</v>
      </c>
    </row>
    <row r="11" ht="14.25" customHeight="1">
      <c r="A11" s="61" t="s">
        <v>313</v>
      </c>
      <c r="B11" s="18">
        <v>2019.0</v>
      </c>
      <c r="C11" s="60">
        <v>20.75</v>
      </c>
      <c r="D11" s="60">
        <v>8.561076245620848</v>
      </c>
      <c r="E11" s="60">
        <v>43.9243453</v>
      </c>
      <c r="F11" s="60">
        <v>78.4681719</v>
      </c>
      <c r="G11" s="60">
        <v>9662.736</v>
      </c>
      <c r="H11" s="60">
        <v>2225.139</v>
      </c>
      <c r="I11" s="60">
        <v>1.8571</v>
      </c>
      <c r="J11" s="60">
        <v>2.076902017427096</v>
      </c>
      <c r="K11" s="60">
        <v>0.0</v>
      </c>
      <c r="L11" s="60">
        <v>303.98293164160225</v>
      </c>
      <c r="M11" s="60">
        <v>1.64</v>
      </c>
      <c r="N11" s="60">
        <v>24.9</v>
      </c>
      <c r="O11" s="60">
        <v>5.664278229346626</v>
      </c>
      <c r="P11" s="60">
        <v>3.7761854862310837</v>
      </c>
      <c r="Q11" s="60">
        <v>15.104741944924335</v>
      </c>
      <c r="R11" s="60">
        <v>745.796633530639</v>
      </c>
    </row>
    <row r="12" ht="14.25" customHeight="1">
      <c r="A12" s="59" t="s">
        <v>334</v>
      </c>
      <c r="B12" s="18">
        <v>2019.0</v>
      </c>
      <c r="C12" s="60">
        <v>2.7199999999999998</v>
      </c>
      <c r="D12" s="60">
        <v>1.1109908201396952</v>
      </c>
      <c r="E12" s="60">
        <v>22.4823118</v>
      </c>
      <c r="F12" s="60">
        <v>49.3755572</v>
      </c>
      <c r="G12" s="60">
        <v>3212.496</v>
      </c>
      <c r="H12" s="60">
        <v>265.252</v>
      </c>
      <c r="I12" s="60">
        <v>2.6667</v>
      </c>
      <c r="J12" s="60">
        <v>0.0</v>
      </c>
      <c r="K12" s="60">
        <v>0.0</v>
      </c>
      <c r="L12" s="60">
        <v>0.0</v>
      </c>
      <c r="M12" s="60">
        <v>0.0</v>
      </c>
      <c r="N12" s="60">
        <v>0.0</v>
      </c>
      <c r="O12" s="60">
        <v>0.0</v>
      </c>
      <c r="P12" s="60">
        <v>0.0</v>
      </c>
      <c r="Q12" s="60">
        <v>0.0</v>
      </c>
      <c r="R12" s="60">
        <v>0.0</v>
      </c>
    </row>
    <row r="13" ht="14.25" customHeight="1">
      <c r="A13" s="61" t="s">
        <v>335</v>
      </c>
      <c r="B13" s="18">
        <v>2019.0</v>
      </c>
      <c r="C13" s="60">
        <v>1.78</v>
      </c>
      <c r="D13" s="60">
        <v>1.7913721382668475</v>
      </c>
      <c r="E13" s="60">
        <v>16.252225</v>
      </c>
      <c r="F13" s="60">
        <v>44.7464274</v>
      </c>
      <c r="G13" s="60">
        <v>691.81</v>
      </c>
      <c r="H13" s="60">
        <v>66.949</v>
      </c>
      <c r="I13" s="60">
        <v>0.5556</v>
      </c>
      <c r="J13" s="60">
        <v>8.308408109006313</v>
      </c>
      <c r="K13" s="60">
        <v>0.0</v>
      </c>
      <c r="L13" s="60">
        <v>373.8783649052842</v>
      </c>
      <c r="M13" s="60">
        <v>1.22</v>
      </c>
      <c r="N13" s="60">
        <v>63.64</v>
      </c>
      <c r="O13" s="60">
        <v>0.0</v>
      </c>
      <c r="P13" s="60">
        <v>0.0</v>
      </c>
      <c r="Q13" s="60">
        <v>0.0</v>
      </c>
      <c r="R13" s="60">
        <v>415.42040545031574</v>
      </c>
    </row>
    <row r="14" ht="14.25" customHeight="1">
      <c r="A14" s="59" t="s">
        <v>315</v>
      </c>
      <c r="B14" s="18">
        <v>2019.0</v>
      </c>
      <c r="C14" s="60">
        <v>18.856535411928544</v>
      </c>
      <c r="D14" s="60">
        <v>8.329273290742828</v>
      </c>
      <c r="E14" s="60">
        <v>49.9989657</v>
      </c>
      <c r="F14" s="60">
        <v>77.1251779</v>
      </c>
      <c r="G14" s="60">
        <v>11628.66</v>
      </c>
      <c r="H14" s="60">
        <v>1989.098</v>
      </c>
      <c r="I14" s="60">
        <v>3.3846</v>
      </c>
      <c r="J14" s="60">
        <v>11.822344230595826</v>
      </c>
      <c r="K14" s="60">
        <v>1.8034084419552956</v>
      </c>
      <c r="L14" s="60">
        <v>795.5035016180581</v>
      </c>
      <c r="M14" s="60">
        <v>0.97</v>
      </c>
      <c r="N14" s="60">
        <v>22.49</v>
      </c>
      <c r="O14" s="60">
        <v>18.034084419552958</v>
      </c>
      <c r="P14" s="60">
        <v>14.026510104096744</v>
      </c>
      <c r="Q14" s="60">
        <v>10.018935788640531</v>
      </c>
      <c r="R14" s="60">
        <v>1478.7949224033423</v>
      </c>
    </row>
    <row r="15" ht="14.25" customHeight="1">
      <c r="A15" s="61" t="s">
        <v>307</v>
      </c>
      <c r="B15" s="18">
        <v>2019.0</v>
      </c>
      <c r="C15" s="60">
        <v>24.111712219816862</v>
      </c>
      <c r="D15" s="60">
        <v>11.062504548439968</v>
      </c>
      <c r="E15" s="60">
        <v>50.082136</v>
      </c>
      <c r="F15" s="60">
        <v>77.5706897</v>
      </c>
      <c r="G15" s="60">
        <v>9078.343</v>
      </c>
      <c r="H15" s="60">
        <v>1170.358</v>
      </c>
      <c r="I15" s="60">
        <v>2.3375</v>
      </c>
      <c r="J15" s="60">
        <v>6.434012100077053</v>
      </c>
      <c r="K15" s="60">
        <v>1.1369338650738567</v>
      </c>
      <c r="L15" s="60">
        <v>605.6756772120729</v>
      </c>
      <c r="M15" s="60">
        <v>1.28</v>
      </c>
      <c r="N15" s="60">
        <v>19.54</v>
      </c>
      <c r="O15" s="60">
        <v>28.42334662684642</v>
      </c>
      <c r="P15" s="60">
        <v>9.56058022903016</v>
      </c>
      <c r="Q15" s="60">
        <v>52.97078235003196</v>
      </c>
      <c r="R15" s="60">
        <v>3138.971043844821</v>
      </c>
    </row>
    <row r="16" ht="14.25" customHeight="1">
      <c r="A16" s="59" t="s">
        <v>336</v>
      </c>
      <c r="B16" s="18">
        <v>2019.0</v>
      </c>
      <c r="C16" s="60">
        <v>0.18</v>
      </c>
      <c r="D16" s="60">
        <v>2.450586264656617</v>
      </c>
      <c r="E16" s="60">
        <v>30.9263213</v>
      </c>
      <c r="F16" s="60">
        <v>43.6336229</v>
      </c>
      <c r="G16" s="60">
        <v>0.0</v>
      </c>
      <c r="H16" s="60">
        <v>0.0</v>
      </c>
      <c r="I16" s="60">
        <v>0.0</v>
      </c>
      <c r="J16" s="60">
        <v>0.0</v>
      </c>
      <c r="K16" s="60">
        <v>0.0</v>
      </c>
      <c r="L16" s="60">
        <v>603.0150753768845</v>
      </c>
      <c r="M16" s="60">
        <v>0.0</v>
      </c>
      <c r="N16" s="60">
        <v>0.0</v>
      </c>
      <c r="O16" s="60">
        <v>0.0</v>
      </c>
      <c r="P16" s="60">
        <v>0.0</v>
      </c>
      <c r="Q16" s="60">
        <v>0.0</v>
      </c>
      <c r="R16" s="60">
        <v>33.50083752093803</v>
      </c>
    </row>
    <row r="17" ht="14.25" customHeight="1">
      <c r="A17" s="61" t="s">
        <v>331</v>
      </c>
      <c r="B17" s="18">
        <v>2019.0</v>
      </c>
      <c r="C17" s="60">
        <v>7.090000000000001</v>
      </c>
      <c r="D17" s="60">
        <v>5.356703973387605</v>
      </c>
      <c r="E17" s="60">
        <v>32.1534294</v>
      </c>
      <c r="F17" s="60">
        <v>60.5876506</v>
      </c>
      <c r="G17" s="60">
        <v>3203.051</v>
      </c>
      <c r="H17" s="60">
        <v>953.289</v>
      </c>
      <c r="I17" s="60">
        <v>0.5</v>
      </c>
      <c r="J17" s="60">
        <v>0.0</v>
      </c>
      <c r="K17" s="60">
        <v>0.0</v>
      </c>
      <c r="L17" s="60">
        <v>0.0</v>
      </c>
      <c r="M17" s="60">
        <v>0.0</v>
      </c>
      <c r="N17" s="60">
        <v>0.0</v>
      </c>
      <c r="O17" s="60">
        <v>0.0</v>
      </c>
      <c r="P17" s="60">
        <v>0.0</v>
      </c>
      <c r="Q17" s="60">
        <v>0.0</v>
      </c>
      <c r="R17" s="60">
        <v>141.84900173765027</v>
      </c>
    </row>
    <row r="18" ht="14.25" customHeight="1">
      <c r="A18" s="59" t="s">
        <v>328</v>
      </c>
      <c r="B18" s="18">
        <v>2019.0</v>
      </c>
      <c r="C18" s="60">
        <v>11.020000000000001</v>
      </c>
      <c r="D18" s="60">
        <v>8.013631605619688</v>
      </c>
      <c r="E18" s="60">
        <v>28.7517416</v>
      </c>
      <c r="F18" s="60">
        <v>61.6569883</v>
      </c>
      <c r="G18" s="60">
        <v>6138.802</v>
      </c>
      <c r="H18" s="60">
        <v>854.741</v>
      </c>
      <c r="I18" s="60">
        <v>1.15</v>
      </c>
      <c r="J18" s="60">
        <v>2.444315438907391</v>
      </c>
      <c r="K18" s="60">
        <v>0.20369295324228257</v>
      </c>
      <c r="L18" s="60">
        <v>315.724077525538</v>
      </c>
      <c r="M18" s="60">
        <v>1.57</v>
      </c>
      <c r="N18" s="60">
        <v>26.23</v>
      </c>
      <c r="O18" s="60">
        <v>2.0369295324228256</v>
      </c>
      <c r="P18" s="60">
        <v>2.0369295324228256</v>
      </c>
      <c r="Q18" s="60">
        <v>0.0</v>
      </c>
      <c r="R18" s="60">
        <v>258.6900506176989</v>
      </c>
    </row>
    <row r="19" ht="14.25" customHeight="1">
      <c r="A19" s="61" t="s">
        <v>312</v>
      </c>
      <c r="B19" s="18">
        <v>2019.0</v>
      </c>
      <c r="C19" s="60">
        <v>21.05</v>
      </c>
      <c r="D19" s="60">
        <v>6.998728556317782</v>
      </c>
      <c r="E19" s="60">
        <v>41.1402346</v>
      </c>
      <c r="F19" s="60">
        <v>75.0089269</v>
      </c>
      <c r="G19" s="60">
        <v>8483.581</v>
      </c>
      <c r="H19" s="60">
        <v>1162.134</v>
      </c>
      <c r="I19" s="60">
        <v>1.1304</v>
      </c>
      <c r="J19" s="60">
        <v>2.2384384653265883</v>
      </c>
      <c r="K19" s="60">
        <v>0.0</v>
      </c>
      <c r="L19" s="60">
        <v>235.03603885929175</v>
      </c>
      <c r="M19" s="60">
        <v>1.61</v>
      </c>
      <c r="N19" s="60">
        <v>16.29</v>
      </c>
      <c r="O19" s="60">
        <v>16.78828848994941</v>
      </c>
      <c r="P19" s="60">
        <v>0.0</v>
      </c>
      <c r="Q19" s="60">
        <v>0.0</v>
      </c>
      <c r="R19" s="60">
        <v>554.0135201683306</v>
      </c>
    </row>
    <row r="20" ht="14.25" customHeight="1">
      <c r="A20" s="59" t="s">
        <v>314</v>
      </c>
      <c r="B20" s="18">
        <v>2019.0</v>
      </c>
      <c r="C20" s="60">
        <v>19.639999999999997</v>
      </c>
      <c r="D20" s="60">
        <v>7.826808934474889</v>
      </c>
      <c r="E20" s="60">
        <v>42.7814897</v>
      </c>
      <c r="F20" s="60">
        <v>72.1282517</v>
      </c>
      <c r="G20" s="60">
        <v>8659.218</v>
      </c>
      <c r="H20" s="60">
        <v>1326.048</v>
      </c>
      <c r="I20" s="60">
        <v>1.3043</v>
      </c>
      <c r="J20" s="60">
        <v>1.0179930267477668</v>
      </c>
      <c r="K20" s="60">
        <v>0.5089965133738834</v>
      </c>
      <c r="L20" s="60">
        <v>463.18682717023387</v>
      </c>
      <c r="M20" s="60">
        <v>0.66</v>
      </c>
      <c r="N20" s="60">
        <v>19.16</v>
      </c>
      <c r="O20" s="60">
        <v>0.0</v>
      </c>
      <c r="P20" s="60">
        <v>0.0</v>
      </c>
      <c r="Q20" s="60">
        <v>0.0</v>
      </c>
      <c r="R20" s="60">
        <v>290.12801262311353</v>
      </c>
    </row>
    <row r="21" ht="14.25" customHeight="1">
      <c r="A21" s="61" t="s">
        <v>309</v>
      </c>
      <c r="B21" s="18">
        <v>2019.0</v>
      </c>
      <c r="C21" s="60">
        <v>21.649967685332065</v>
      </c>
      <c r="D21" s="60">
        <v>9.382952861644437</v>
      </c>
      <c r="E21" s="60">
        <v>51.4211928</v>
      </c>
      <c r="F21" s="60">
        <v>84.527515</v>
      </c>
      <c r="G21" s="60">
        <v>13890.201</v>
      </c>
      <c r="H21" s="60">
        <v>1719.192</v>
      </c>
      <c r="I21" s="60">
        <v>1.4839</v>
      </c>
      <c r="J21" s="60">
        <v>3.2286592641464407</v>
      </c>
      <c r="K21" s="60">
        <v>0.28075297949099487</v>
      </c>
      <c r="L21" s="60">
        <v>280.7529794909949</v>
      </c>
      <c r="M21" s="60">
        <v>1.32</v>
      </c>
      <c r="N21" s="60">
        <v>30.19</v>
      </c>
      <c r="O21" s="60">
        <v>19.65270856436964</v>
      </c>
      <c r="P21" s="60">
        <v>11.230119179639795</v>
      </c>
      <c r="Q21" s="60">
        <v>18.248943666914666</v>
      </c>
      <c r="R21" s="60">
        <v>1323.7502983000409</v>
      </c>
    </row>
    <row r="22" ht="14.25" customHeight="1">
      <c r="A22" s="59" t="s">
        <v>316</v>
      </c>
      <c r="B22" s="18">
        <v>2019.0</v>
      </c>
      <c r="C22" s="60">
        <v>18.09</v>
      </c>
      <c r="D22" s="60">
        <v>8.440173471992171</v>
      </c>
      <c r="E22" s="60">
        <v>44.2661172</v>
      </c>
      <c r="F22" s="60">
        <v>73.6735016</v>
      </c>
      <c r="G22" s="60">
        <v>17235.375</v>
      </c>
      <c r="H22" s="60">
        <v>1837.65</v>
      </c>
      <c r="I22" s="60">
        <v>1.75</v>
      </c>
      <c r="J22" s="60">
        <v>3.458477829585077</v>
      </c>
      <c r="K22" s="60">
        <v>0.0</v>
      </c>
      <c r="L22" s="60">
        <v>468.4665423710695</v>
      </c>
      <c r="M22" s="60">
        <v>2.23</v>
      </c>
      <c r="N22" s="60">
        <v>20.85</v>
      </c>
      <c r="O22" s="60">
        <v>18.86442452500951</v>
      </c>
      <c r="P22" s="60">
        <v>0.0</v>
      </c>
      <c r="Q22" s="60">
        <v>3.1440707541682515</v>
      </c>
      <c r="R22" s="60">
        <v>537.6360989627711</v>
      </c>
    </row>
    <row r="23" ht="14.25" customHeight="1">
      <c r="A23" s="61" t="s">
        <v>333</v>
      </c>
      <c r="B23" s="18">
        <v>2019.0</v>
      </c>
      <c r="C23" s="60">
        <v>3.91</v>
      </c>
      <c r="D23" s="60">
        <v>1.0861624808086414</v>
      </c>
      <c r="E23" s="60">
        <v>23.4276621</v>
      </c>
      <c r="F23" s="60">
        <v>52.9701453</v>
      </c>
      <c r="G23" s="60">
        <v>2676.864</v>
      </c>
      <c r="H23" s="60">
        <v>286.807</v>
      </c>
      <c r="I23" s="60">
        <v>1.25</v>
      </c>
      <c r="J23" s="60">
        <v>0.0</v>
      </c>
      <c r="K23" s="60">
        <v>0.0</v>
      </c>
      <c r="L23" s="60">
        <v>0.0</v>
      </c>
      <c r="M23" s="60">
        <v>0.0</v>
      </c>
      <c r="N23" s="60">
        <v>0.0</v>
      </c>
      <c r="O23" s="60">
        <v>0.0</v>
      </c>
      <c r="P23" s="60">
        <v>0.0</v>
      </c>
      <c r="Q23" s="60">
        <v>0.0</v>
      </c>
      <c r="R23" s="60">
        <v>0.0</v>
      </c>
    </row>
    <row r="24" ht="14.25" customHeight="1">
      <c r="A24" s="59" t="s">
        <v>325</v>
      </c>
      <c r="B24" s="18">
        <v>2019.0</v>
      </c>
      <c r="C24" s="60">
        <v>12.1</v>
      </c>
      <c r="D24" s="60">
        <v>5.461799089468341</v>
      </c>
      <c r="E24" s="60">
        <v>25.807755</v>
      </c>
      <c r="F24" s="60">
        <v>61.4496607</v>
      </c>
      <c r="G24" s="60">
        <v>5077.838</v>
      </c>
      <c r="H24" s="60">
        <v>317.874</v>
      </c>
      <c r="I24" s="60">
        <v>1.0</v>
      </c>
      <c r="J24" s="60">
        <v>0.7737722169347787</v>
      </c>
      <c r="K24" s="60">
        <v>0.0</v>
      </c>
      <c r="L24" s="60">
        <v>123.8035547095646</v>
      </c>
      <c r="M24" s="60">
        <v>0.0</v>
      </c>
      <c r="N24" s="60">
        <v>33.33</v>
      </c>
      <c r="O24" s="60">
        <v>0.0</v>
      </c>
      <c r="P24" s="60">
        <v>0.0</v>
      </c>
      <c r="Q24" s="60">
        <v>0.0</v>
      </c>
      <c r="R24" s="60">
        <v>263.08255375782477</v>
      </c>
    </row>
    <row r="25" ht="14.25" customHeight="1">
      <c r="A25" s="61" t="s">
        <v>326</v>
      </c>
      <c r="B25" s="18">
        <v>2019.0</v>
      </c>
      <c r="C25" s="60">
        <v>11.59</v>
      </c>
      <c r="D25" s="60">
        <v>5.8922052809516225</v>
      </c>
      <c r="E25" s="60">
        <v>21.2747217</v>
      </c>
      <c r="F25" s="60">
        <v>63.8804531</v>
      </c>
      <c r="G25" s="60">
        <v>4965.623</v>
      </c>
      <c r="H25" s="60">
        <v>600.24</v>
      </c>
      <c r="I25" s="60">
        <v>1.4444</v>
      </c>
      <c r="J25" s="60">
        <v>3.7231270011807633</v>
      </c>
      <c r="K25" s="60">
        <v>0.0</v>
      </c>
      <c r="L25" s="60">
        <v>420.18147584754325</v>
      </c>
      <c r="M25" s="60">
        <v>1.67</v>
      </c>
      <c r="N25" s="60">
        <v>13.64</v>
      </c>
      <c r="O25" s="60">
        <v>0.0</v>
      </c>
      <c r="P25" s="60">
        <v>0.0</v>
      </c>
      <c r="Q25" s="60">
        <v>0.0</v>
      </c>
      <c r="R25" s="60">
        <v>101.05630431776356</v>
      </c>
    </row>
    <row r="26" ht="14.25" customHeight="1">
      <c r="A26" s="59" t="s">
        <v>330</v>
      </c>
      <c r="B26" s="18">
        <v>2019.0</v>
      </c>
      <c r="C26" s="60">
        <v>7.2700000000000005</v>
      </c>
      <c r="D26" s="60">
        <v>1.6699863125093026</v>
      </c>
      <c r="E26" s="60">
        <v>36.9095316</v>
      </c>
      <c r="F26" s="60">
        <v>77.3384541</v>
      </c>
      <c r="G26" s="60">
        <v>6825.282</v>
      </c>
      <c r="H26" s="60">
        <v>144.196</v>
      </c>
      <c r="I26" s="60">
        <v>0.5</v>
      </c>
      <c r="J26" s="60">
        <v>0.0</v>
      </c>
      <c r="K26" s="60">
        <v>0.0</v>
      </c>
      <c r="L26" s="60">
        <v>72.3445045305746</v>
      </c>
      <c r="M26" s="60">
        <v>0.0</v>
      </c>
      <c r="N26" s="60">
        <v>0.0</v>
      </c>
      <c r="O26" s="60">
        <v>18.08612613264365</v>
      </c>
      <c r="P26" s="60">
        <v>0.0</v>
      </c>
      <c r="Q26" s="60">
        <v>0.0</v>
      </c>
      <c r="R26" s="60">
        <v>1501.1484690094228</v>
      </c>
    </row>
    <row r="27" ht="14.25" customHeight="1">
      <c r="A27" s="61" t="s">
        <v>332</v>
      </c>
      <c r="B27" s="18">
        <v>2019.0</v>
      </c>
      <c r="C27" s="60">
        <v>4.069999999999999</v>
      </c>
      <c r="D27" s="60">
        <v>7.072919915862262</v>
      </c>
      <c r="E27" s="60">
        <v>37.6311112</v>
      </c>
      <c r="F27" s="60">
        <v>69.987768</v>
      </c>
      <c r="G27" s="60">
        <v>7627.925</v>
      </c>
      <c r="H27" s="60">
        <v>323.378</v>
      </c>
      <c r="I27" s="60">
        <v>1.4</v>
      </c>
      <c r="J27" s="60">
        <v>0.0</v>
      </c>
      <c r="K27" s="60">
        <v>0.0</v>
      </c>
      <c r="L27" s="60">
        <v>0.0</v>
      </c>
      <c r="M27" s="60">
        <v>0.0</v>
      </c>
      <c r="N27" s="60">
        <v>0.0</v>
      </c>
      <c r="O27" s="60">
        <v>0.0</v>
      </c>
      <c r="P27" s="60">
        <v>0.0</v>
      </c>
      <c r="Q27" s="60">
        <v>0.0</v>
      </c>
      <c r="R27" s="60">
        <v>18.934014957871817</v>
      </c>
    </row>
    <row r="28" ht="14.25" customHeight="1">
      <c r="A28" s="59" t="s">
        <v>319</v>
      </c>
      <c r="B28" s="18">
        <v>2019.0</v>
      </c>
      <c r="C28" s="60">
        <v>14.979999999999999</v>
      </c>
      <c r="D28" s="60">
        <v>9.545252150171606</v>
      </c>
      <c r="E28" s="60">
        <v>32.4156835</v>
      </c>
      <c r="F28" s="60">
        <v>65.5020616</v>
      </c>
      <c r="G28" s="60">
        <v>7050.773</v>
      </c>
      <c r="H28" s="60">
        <v>1207.506</v>
      </c>
      <c r="I28" s="60">
        <v>2.0</v>
      </c>
      <c r="J28" s="60">
        <v>4.407121909004952</v>
      </c>
      <c r="K28" s="60">
        <v>0.6009711694097661</v>
      </c>
      <c r="L28" s="60">
        <v>320.51795701854195</v>
      </c>
      <c r="M28" s="60">
        <v>1.4</v>
      </c>
      <c r="N28" s="60">
        <v>27.23</v>
      </c>
      <c r="O28" s="60">
        <v>2.0032372313658873</v>
      </c>
      <c r="P28" s="60">
        <v>2.0032372313658873</v>
      </c>
      <c r="Q28" s="60">
        <v>2.0032372313658873</v>
      </c>
      <c r="R28" s="60">
        <v>282.4564496225901</v>
      </c>
    </row>
    <row r="29" ht="14.25" customHeight="1">
      <c r="A29" s="61" t="s">
        <v>323</v>
      </c>
      <c r="B29" s="18">
        <v>2019.0</v>
      </c>
      <c r="C29" s="60">
        <v>13.3</v>
      </c>
      <c r="D29" s="60">
        <v>7.344337450423697</v>
      </c>
      <c r="E29" s="60">
        <v>28.7125195</v>
      </c>
      <c r="F29" s="60">
        <v>58.8642499</v>
      </c>
      <c r="G29" s="60">
        <v>4505.713</v>
      </c>
      <c r="H29" s="60">
        <v>927.168</v>
      </c>
      <c r="I29" s="60">
        <v>1.125</v>
      </c>
      <c r="J29" s="60">
        <v>1.800030960532521</v>
      </c>
      <c r="K29" s="60">
        <v>0.0</v>
      </c>
      <c r="L29" s="60">
        <v>324.0055728958538</v>
      </c>
      <c r="M29" s="60">
        <v>0.87</v>
      </c>
      <c r="N29" s="60">
        <v>16.67</v>
      </c>
      <c r="O29" s="60">
        <v>3.600061921065042</v>
      </c>
      <c r="P29" s="60">
        <v>0.0</v>
      </c>
      <c r="Q29" s="60">
        <v>0.0</v>
      </c>
      <c r="R29" s="60">
        <v>223.20383910603263</v>
      </c>
    </row>
    <row r="30" ht="14.25" customHeight="1">
      <c r="A30" s="59" t="s">
        <v>308</v>
      </c>
      <c r="B30" s="18">
        <v>2019.0</v>
      </c>
      <c r="C30" s="60">
        <v>23.939999999999998</v>
      </c>
      <c r="D30" s="60">
        <v>8.016019912389252</v>
      </c>
      <c r="E30" s="60">
        <v>47.8052586</v>
      </c>
      <c r="F30" s="60">
        <v>76.2476438</v>
      </c>
      <c r="G30" s="60">
        <v>21081.282</v>
      </c>
      <c r="H30" s="60">
        <v>2616.603</v>
      </c>
      <c r="I30" s="60">
        <v>3.2308</v>
      </c>
      <c r="J30" s="60">
        <v>8.693233187287015</v>
      </c>
      <c r="K30" s="60">
        <v>2.308265623822151</v>
      </c>
      <c r="L30" s="60">
        <v>1244.7370796298994</v>
      </c>
      <c r="M30" s="60">
        <v>1.28</v>
      </c>
      <c r="N30" s="60">
        <v>17.22</v>
      </c>
      <c r="O30" s="60">
        <v>5.7954887915246776</v>
      </c>
      <c r="P30" s="60">
        <v>11.590977583049355</v>
      </c>
      <c r="Q30" s="60">
        <v>5.7954887915246776</v>
      </c>
      <c r="R30" s="60">
        <v>730.2315877321093</v>
      </c>
    </row>
    <row r="31" ht="14.25" customHeight="1">
      <c r="A31" s="61" t="s">
        <v>321</v>
      </c>
      <c r="B31" s="18">
        <v>2019.0</v>
      </c>
      <c r="C31" s="60">
        <v>13.81</v>
      </c>
      <c r="D31" s="60">
        <v>8.515108761190591</v>
      </c>
      <c r="E31" s="60">
        <v>32.0259881</v>
      </c>
      <c r="F31" s="60">
        <v>72.0159745</v>
      </c>
      <c r="G31" s="60">
        <v>6428.461</v>
      </c>
      <c r="H31" s="60">
        <v>920.239</v>
      </c>
      <c r="I31" s="60">
        <v>1.3125</v>
      </c>
      <c r="J31" s="60">
        <v>1.0202520022445545</v>
      </c>
      <c r="K31" s="60">
        <v>0.0</v>
      </c>
      <c r="L31" s="60">
        <v>102.02520022445543</v>
      </c>
      <c r="M31" s="60">
        <v>1.32</v>
      </c>
      <c r="N31" s="60">
        <v>41.79</v>
      </c>
      <c r="O31" s="60">
        <v>0.0</v>
      </c>
      <c r="P31" s="60">
        <v>0.0</v>
      </c>
      <c r="Q31" s="60">
        <v>2.040504004489109</v>
      </c>
      <c r="R31" s="60">
        <v>199.96939243993268</v>
      </c>
    </row>
    <row r="32" ht="14.25" customHeight="1">
      <c r="A32" s="59" t="s">
        <v>317</v>
      </c>
      <c r="B32" s="18">
        <v>2019.0</v>
      </c>
      <c r="C32" s="60">
        <v>17.26</v>
      </c>
      <c r="D32" s="60">
        <v>9.001846767431788</v>
      </c>
      <c r="E32" s="60">
        <v>42.7387475</v>
      </c>
      <c r="F32" s="60">
        <v>80.9379442</v>
      </c>
      <c r="G32" s="60">
        <v>3456.029</v>
      </c>
      <c r="H32" s="60">
        <v>768.238</v>
      </c>
      <c r="I32" s="60">
        <v>1.1304</v>
      </c>
      <c r="J32" s="60">
        <v>0.7529057456119712</v>
      </c>
      <c r="K32" s="60">
        <v>0.1882264364029928</v>
      </c>
      <c r="L32" s="60">
        <v>124.22944802597524</v>
      </c>
      <c r="M32" s="60">
        <v>1.39</v>
      </c>
      <c r="N32" s="60">
        <v>7.0</v>
      </c>
      <c r="O32" s="60">
        <v>5.6467930920897835</v>
      </c>
      <c r="P32" s="60">
        <v>3.7645287280598563</v>
      </c>
      <c r="Q32" s="60">
        <v>1.8822643640299281</v>
      </c>
      <c r="R32" s="60">
        <v>346.3366429815067</v>
      </c>
    </row>
    <row r="33" ht="14.25" customHeight="1">
      <c r="A33" s="61" t="s">
        <v>322</v>
      </c>
      <c r="B33" s="18">
        <v>2019.0</v>
      </c>
      <c r="C33" s="60">
        <v>13.51</v>
      </c>
      <c r="D33" s="60">
        <v>8.893397807050501</v>
      </c>
      <c r="E33" s="60">
        <v>43.496832</v>
      </c>
      <c r="F33" s="60">
        <v>75.662099</v>
      </c>
      <c r="G33" s="60">
        <v>4859.024</v>
      </c>
      <c r="H33" s="60">
        <v>306.886</v>
      </c>
      <c r="I33" s="60">
        <v>1.0</v>
      </c>
      <c r="J33" s="60">
        <v>0.0</v>
      </c>
      <c r="K33" s="60">
        <v>0.0</v>
      </c>
      <c r="L33" s="60">
        <v>71.24494606163874</v>
      </c>
      <c r="M33" s="60">
        <v>0.08</v>
      </c>
      <c r="N33" s="60">
        <v>0.0</v>
      </c>
      <c r="O33" s="60">
        <v>0.0</v>
      </c>
      <c r="P33" s="60">
        <v>0.0</v>
      </c>
      <c r="Q33" s="60">
        <v>0.0</v>
      </c>
      <c r="R33" s="60">
        <v>207.79775934644636</v>
      </c>
    </row>
    <row r="34" ht="14.25" customHeight="1">
      <c r="A34" s="59" t="s">
        <v>329</v>
      </c>
      <c r="B34" s="18">
        <v>2020.0</v>
      </c>
      <c r="C34" s="60">
        <v>8.04</v>
      </c>
      <c r="D34" s="60">
        <v>7.268308796155277</v>
      </c>
      <c r="E34" s="60">
        <v>22.427528</v>
      </c>
      <c r="F34" s="60">
        <v>68.294633</v>
      </c>
      <c r="G34" s="60">
        <v>936.308</v>
      </c>
      <c r="H34" s="60">
        <v>439.256</v>
      </c>
      <c r="I34" s="60">
        <v>0.2857</v>
      </c>
      <c r="J34" s="60">
        <v>0.0</v>
      </c>
      <c r="K34" s="60">
        <v>0.0</v>
      </c>
      <c r="L34" s="60">
        <v>54.421768707483</v>
      </c>
      <c r="M34" s="60">
        <v>0.0</v>
      </c>
      <c r="N34" s="60">
        <v>0.0</v>
      </c>
      <c r="O34" s="60">
        <v>0.0</v>
      </c>
      <c r="P34" s="60">
        <v>0.0</v>
      </c>
      <c r="Q34" s="60">
        <v>0.0</v>
      </c>
      <c r="R34" s="60">
        <v>97.9591836734694</v>
      </c>
    </row>
    <row r="35" ht="14.25" customHeight="1">
      <c r="A35" s="61" t="s">
        <v>306</v>
      </c>
      <c r="B35" s="18">
        <v>2020.0</v>
      </c>
      <c r="C35" s="60">
        <v>25.14</v>
      </c>
      <c r="D35" s="60">
        <v>12.87452888659446</v>
      </c>
      <c r="E35" s="60">
        <v>41.7978921</v>
      </c>
      <c r="F35" s="60">
        <v>74.6341675</v>
      </c>
      <c r="G35" s="60">
        <v>11731.626</v>
      </c>
      <c r="H35" s="60">
        <v>1146.343</v>
      </c>
      <c r="I35" s="60">
        <v>1.2632</v>
      </c>
      <c r="J35" s="60">
        <v>1.9987075024817285</v>
      </c>
      <c r="K35" s="60">
        <v>0.3331179170802881</v>
      </c>
      <c r="L35" s="60">
        <v>513.0015923036436</v>
      </c>
      <c r="M35" s="60">
        <v>1.61</v>
      </c>
      <c r="N35" s="60">
        <v>25.0</v>
      </c>
      <c r="O35" s="60">
        <v>43.30532922043745</v>
      </c>
      <c r="P35" s="60">
        <v>13.324716683211523</v>
      </c>
      <c r="Q35" s="60">
        <v>19.987075024817283</v>
      </c>
      <c r="R35" s="60">
        <v>912.7430927999893</v>
      </c>
    </row>
    <row r="36" ht="14.25" customHeight="1">
      <c r="A36" s="59" t="s">
        <v>320</v>
      </c>
      <c r="B36" s="18">
        <v>2020.0</v>
      </c>
      <c r="C36" s="60">
        <v>16.920491690858803</v>
      </c>
      <c r="D36" s="60">
        <v>22.279678530530123</v>
      </c>
      <c r="E36" s="60">
        <v>44.9828088</v>
      </c>
      <c r="F36" s="60">
        <v>77.6434464</v>
      </c>
      <c r="G36" s="60">
        <v>7280.061</v>
      </c>
      <c r="H36" s="60">
        <v>1057.296</v>
      </c>
      <c r="I36" s="60">
        <v>2.0</v>
      </c>
      <c r="J36" s="60">
        <v>6.751293510624782</v>
      </c>
      <c r="K36" s="60">
        <v>1.3289947855560593</v>
      </c>
      <c r="L36" s="60">
        <v>640.0438887237982</v>
      </c>
      <c r="M36" s="60">
        <v>1.63</v>
      </c>
      <c r="N36" s="60">
        <v>21.6</v>
      </c>
      <c r="O36" s="60">
        <v>16.479535340895136</v>
      </c>
      <c r="P36" s="60">
        <v>3.7211853995569664</v>
      </c>
      <c r="Q36" s="60">
        <v>3.7211853995569664</v>
      </c>
      <c r="R36" s="60">
        <v>1166.3258238039975</v>
      </c>
    </row>
    <row r="37" ht="14.25" customHeight="1">
      <c r="A37" s="61" t="s">
        <v>305</v>
      </c>
      <c r="B37" s="18">
        <v>2020.0</v>
      </c>
      <c r="C37" s="60">
        <v>25.240000000000002</v>
      </c>
      <c r="D37" s="60">
        <v>25.779728284085085</v>
      </c>
      <c r="E37" s="60">
        <v>63.8970816</v>
      </c>
      <c r="F37" s="60">
        <v>87.1739279</v>
      </c>
      <c r="G37" s="60">
        <v>9825.395</v>
      </c>
      <c r="H37" s="60">
        <v>1638.182</v>
      </c>
      <c r="I37" s="60">
        <v>2.814</v>
      </c>
      <c r="J37" s="60">
        <v>7.651914539309308</v>
      </c>
      <c r="K37" s="60">
        <v>1.5804298532136263</v>
      </c>
      <c r="L37" s="60">
        <v>707.6374667764012</v>
      </c>
      <c r="M37" s="60">
        <v>2.14</v>
      </c>
      <c r="N37" s="60">
        <v>18.8</v>
      </c>
      <c r="O37" s="60">
        <v>36.2181841361456</v>
      </c>
      <c r="P37" s="60">
        <v>16.594513458743076</v>
      </c>
      <c r="Q37" s="60">
        <v>30.95008462543351</v>
      </c>
      <c r="R37" s="60">
        <v>3573.0884931404735</v>
      </c>
    </row>
    <row r="38" ht="14.25" customHeight="1">
      <c r="A38" s="59" t="s">
        <v>310</v>
      </c>
      <c r="B38" s="18">
        <v>2020.0</v>
      </c>
      <c r="C38" s="60">
        <v>21.43492407281144</v>
      </c>
      <c r="D38" s="60">
        <v>18.768382214523673</v>
      </c>
      <c r="E38" s="60">
        <v>50.178464</v>
      </c>
      <c r="F38" s="60">
        <v>80.1755219</v>
      </c>
      <c r="G38" s="60">
        <v>9382.307</v>
      </c>
      <c r="H38" s="60">
        <v>1392.245</v>
      </c>
      <c r="I38" s="60">
        <v>2.5429</v>
      </c>
      <c r="J38" s="60">
        <v>6.850452210439444</v>
      </c>
      <c r="K38" s="60">
        <v>0.6447484433354772</v>
      </c>
      <c r="L38" s="60">
        <v>660.8671544188641</v>
      </c>
      <c r="M38" s="60">
        <v>1.36</v>
      </c>
      <c r="N38" s="60">
        <v>22.6</v>
      </c>
      <c r="O38" s="60">
        <v>26.595873287588432</v>
      </c>
      <c r="P38" s="60">
        <v>6.447484433354772</v>
      </c>
      <c r="Q38" s="60">
        <v>12.894968866709544</v>
      </c>
      <c r="R38" s="60">
        <v>1188.754942399786</v>
      </c>
    </row>
    <row r="39" ht="14.25" customHeight="1">
      <c r="A39" s="61" t="s">
        <v>311</v>
      </c>
      <c r="B39" s="18">
        <v>2020.0</v>
      </c>
      <c r="C39" s="60">
        <v>21.833962461389223</v>
      </c>
      <c r="D39" s="60">
        <v>21.326559089136225</v>
      </c>
      <c r="E39" s="60">
        <v>50.9490479</v>
      </c>
      <c r="F39" s="60">
        <v>82.9603413</v>
      </c>
      <c r="G39" s="60">
        <v>5934.428</v>
      </c>
      <c r="H39" s="60">
        <v>989.422</v>
      </c>
      <c r="I39" s="60">
        <v>1.7627</v>
      </c>
      <c r="J39" s="60">
        <v>6.46703937235681</v>
      </c>
      <c r="K39" s="60">
        <v>0.6381946749036326</v>
      </c>
      <c r="L39" s="60">
        <v>497.79184642483347</v>
      </c>
      <c r="M39" s="60">
        <v>1.51</v>
      </c>
      <c r="N39" s="60">
        <v>22.98</v>
      </c>
      <c r="O39" s="60">
        <v>23.825934529735616</v>
      </c>
      <c r="P39" s="60">
        <v>9.785651681855699</v>
      </c>
      <c r="Q39" s="60">
        <v>14.465745964482338</v>
      </c>
      <c r="R39" s="60">
        <v>2082.641955768854</v>
      </c>
    </row>
    <row r="40" ht="14.25" customHeight="1">
      <c r="A40" s="59" t="s">
        <v>318</v>
      </c>
      <c r="B40" s="18">
        <v>2020.0</v>
      </c>
      <c r="C40" s="60">
        <v>15.61</v>
      </c>
      <c r="D40" s="60">
        <v>23.72660058383129</v>
      </c>
      <c r="E40" s="60">
        <v>30.9877813</v>
      </c>
      <c r="F40" s="60">
        <v>66.8982851</v>
      </c>
      <c r="G40" s="60">
        <v>4762.974</v>
      </c>
      <c r="H40" s="60">
        <v>850.892</v>
      </c>
      <c r="I40" s="60">
        <v>1.45</v>
      </c>
      <c r="J40" s="60">
        <v>5.081275499783298</v>
      </c>
      <c r="K40" s="60">
        <v>0.19926570587385486</v>
      </c>
      <c r="L40" s="60">
        <v>444.3625240986963</v>
      </c>
      <c r="M40" s="60">
        <v>0.0</v>
      </c>
      <c r="N40" s="60">
        <v>23.88</v>
      </c>
      <c r="O40" s="60">
        <v>2.9889855881078224</v>
      </c>
      <c r="P40" s="60">
        <v>0.9963285293692743</v>
      </c>
      <c r="Q40" s="60">
        <v>8.966956764323468</v>
      </c>
      <c r="R40" s="60">
        <v>681.4887140885836</v>
      </c>
    </row>
    <row r="41" ht="14.25" customHeight="1">
      <c r="A41" s="61" t="s">
        <v>324</v>
      </c>
      <c r="B41" s="18">
        <v>2020.0</v>
      </c>
      <c r="C41" s="60">
        <v>13.443165208451077</v>
      </c>
      <c r="D41" s="60">
        <v>21.239596807623286</v>
      </c>
      <c r="E41" s="60">
        <v>39.469189</v>
      </c>
      <c r="F41" s="60">
        <v>74.5790211</v>
      </c>
      <c r="G41" s="60">
        <v>5290.618</v>
      </c>
      <c r="H41" s="60">
        <v>872.716</v>
      </c>
      <c r="I41" s="60">
        <v>1.4667</v>
      </c>
      <c r="J41" s="60">
        <v>1.8395898123516192</v>
      </c>
      <c r="K41" s="60">
        <v>0.510997170097672</v>
      </c>
      <c r="L41" s="60">
        <v>225.860749183171</v>
      </c>
      <c r="M41" s="60">
        <v>1.12</v>
      </c>
      <c r="N41" s="60">
        <v>29.79</v>
      </c>
      <c r="O41" s="60">
        <v>8.175954721562752</v>
      </c>
      <c r="P41" s="60">
        <v>4.087977360781376</v>
      </c>
      <c r="Q41" s="60">
        <v>2.043988680390688</v>
      </c>
      <c r="R41" s="60">
        <v>597.8666890142763</v>
      </c>
    </row>
    <row r="42" ht="14.25" customHeight="1">
      <c r="A42" s="59" t="s">
        <v>327</v>
      </c>
      <c r="B42" s="18">
        <v>2020.0</v>
      </c>
      <c r="C42" s="60">
        <v>12.620000000000001</v>
      </c>
      <c r="D42" s="60">
        <v>9.277511607107291</v>
      </c>
      <c r="E42" s="60">
        <v>32.6068438</v>
      </c>
      <c r="F42" s="60">
        <v>67.6345425</v>
      </c>
      <c r="G42" s="60">
        <v>5017.104</v>
      </c>
      <c r="H42" s="60">
        <v>306.067</v>
      </c>
      <c r="I42" s="60">
        <v>1.8889</v>
      </c>
      <c r="J42" s="60">
        <v>1.1712070459815886</v>
      </c>
      <c r="K42" s="60">
        <v>0.0</v>
      </c>
      <c r="L42" s="60">
        <v>234.24140919631773</v>
      </c>
      <c r="M42" s="60">
        <v>1.4</v>
      </c>
      <c r="N42" s="60">
        <v>15.16</v>
      </c>
      <c r="O42" s="60">
        <v>5.856035229907943</v>
      </c>
      <c r="P42" s="60">
        <v>0.0</v>
      </c>
      <c r="Q42" s="60">
        <v>0.0</v>
      </c>
      <c r="R42" s="60">
        <v>158.11295120751447</v>
      </c>
    </row>
    <row r="43" ht="14.25" customHeight="1">
      <c r="A43" s="61" t="s">
        <v>313</v>
      </c>
      <c r="B43" s="18">
        <v>2020.0</v>
      </c>
      <c r="C43" s="60">
        <v>21.43</v>
      </c>
      <c r="D43" s="60">
        <v>18.689942336086357</v>
      </c>
      <c r="E43" s="60">
        <v>43.9243453</v>
      </c>
      <c r="F43" s="60">
        <v>78.4681719</v>
      </c>
      <c r="G43" s="60">
        <v>9092.833</v>
      </c>
      <c r="H43" s="60">
        <v>1675.942</v>
      </c>
      <c r="I43" s="60">
        <v>1.8571</v>
      </c>
      <c r="J43" s="60">
        <v>2.6115164143133485</v>
      </c>
      <c r="K43" s="60">
        <v>0.0</v>
      </c>
      <c r="L43" s="60">
        <v>380.5352489428022</v>
      </c>
      <c r="M43" s="60">
        <v>1.64</v>
      </c>
      <c r="N43" s="60">
        <v>24.9</v>
      </c>
      <c r="O43" s="60">
        <v>5.596106602100033</v>
      </c>
      <c r="P43" s="60">
        <v>1.8653688673666773</v>
      </c>
      <c r="Q43" s="60">
        <v>37.30737734733355</v>
      </c>
      <c r="R43" s="60">
        <v>871.1272610602384</v>
      </c>
    </row>
    <row r="44" ht="14.25" customHeight="1">
      <c r="A44" s="59" t="s">
        <v>334</v>
      </c>
      <c r="B44" s="18">
        <v>2020.0</v>
      </c>
      <c r="C44" s="60">
        <v>3.8699999999999997</v>
      </c>
      <c r="D44" s="60">
        <v>1.2353640343894725</v>
      </c>
      <c r="E44" s="60">
        <v>22.4823118</v>
      </c>
      <c r="F44" s="60">
        <v>49.3755572</v>
      </c>
      <c r="G44" s="60">
        <v>5369.318</v>
      </c>
      <c r="H44" s="60">
        <v>426.136</v>
      </c>
      <c r="I44" s="60">
        <v>1.8</v>
      </c>
      <c r="J44" s="60">
        <v>0.0</v>
      </c>
      <c r="K44" s="60">
        <v>0.0</v>
      </c>
      <c r="L44" s="60">
        <v>0.0</v>
      </c>
      <c r="M44" s="60">
        <v>0.0</v>
      </c>
      <c r="N44" s="60">
        <v>0.0</v>
      </c>
      <c r="O44" s="60">
        <v>0.0</v>
      </c>
      <c r="P44" s="60">
        <v>0.0</v>
      </c>
      <c r="Q44" s="60">
        <v>0.0</v>
      </c>
      <c r="R44" s="60">
        <v>91.81893306399779</v>
      </c>
    </row>
    <row r="45" ht="14.25" customHeight="1">
      <c r="A45" s="61" t="s">
        <v>335</v>
      </c>
      <c r="B45" s="18">
        <v>2020.0</v>
      </c>
      <c r="C45" s="60">
        <v>2.45</v>
      </c>
      <c r="D45" s="60">
        <v>2.003102234393083</v>
      </c>
      <c r="E45" s="60">
        <v>16.252225</v>
      </c>
      <c r="F45" s="60">
        <v>44.7464274</v>
      </c>
      <c r="G45" s="60">
        <v>734.341</v>
      </c>
      <c r="H45" s="60">
        <v>64.795</v>
      </c>
      <c r="I45" s="60">
        <v>0.5455</v>
      </c>
      <c r="J45" s="60">
        <v>8.176949180260845</v>
      </c>
      <c r="K45" s="60">
        <v>0.0</v>
      </c>
      <c r="L45" s="60">
        <v>429.2898319636943</v>
      </c>
      <c r="M45" s="60">
        <v>1.22</v>
      </c>
      <c r="N45" s="60">
        <v>63.64</v>
      </c>
      <c r="O45" s="60">
        <v>0.0</v>
      </c>
      <c r="P45" s="60">
        <v>0.0</v>
      </c>
      <c r="Q45" s="60">
        <v>0.0</v>
      </c>
      <c r="R45" s="60">
        <v>388.4050860623901</v>
      </c>
    </row>
    <row r="46" ht="14.25" customHeight="1">
      <c r="A46" s="59" t="s">
        <v>315</v>
      </c>
      <c r="B46" s="18">
        <v>2020.0</v>
      </c>
      <c r="C46" s="60">
        <v>19.102110312413057</v>
      </c>
      <c r="D46" s="60">
        <v>14.139950551251877</v>
      </c>
      <c r="E46" s="60">
        <v>49.9989657</v>
      </c>
      <c r="F46" s="60">
        <v>77.1251779</v>
      </c>
      <c r="G46" s="60">
        <v>11529.37</v>
      </c>
      <c r="H46" s="60">
        <v>2113.347</v>
      </c>
      <c r="I46" s="60">
        <v>2.6875</v>
      </c>
      <c r="J46" s="60">
        <v>14.404189448635252</v>
      </c>
      <c r="K46" s="60">
        <v>2.1704943004792847</v>
      </c>
      <c r="L46" s="60">
        <v>964.883375394882</v>
      </c>
      <c r="M46" s="60">
        <v>0.97</v>
      </c>
      <c r="N46" s="60">
        <v>22.49</v>
      </c>
      <c r="O46" s="60">
        <v>39.463532735986995</v>
      </c>
      <c r="P46" s="60">
        <v>15.785413094394796</v>
      </c>
      <c r="Q46" s="60">
        <v>9.865883183996749</v>
      </c>
      <c r="R46" s="60">
        <v>1470.0165944155156</v>
      </c>
    </row>
    <row r="47" ht="14.25" customHeight="1">
      <c r="A47" s="61" t="s">
        <v>307</v>
      </c>
      <c r="B47" s="18">
        <v>2020.0</v>
      </c>
      <c r="C47" s="60">
        <v>24.674110140475893</v>
      </c>
      <c r="D47" s="60">
        <v>17.95082101047534</v>
      </c>
      <c r="E47" s="60">
        <v>50.082136</v>
      </c>
      <c r="F47" s="60">
        <v>77.5706897</v>
      </c>
      <c r="G47" s="60">
        <v>9080.978</v>
      </c>
      <c r="H47" s="60">
        <v>1179.549</v>
      </c>
      <c r="I47" s="60">
        <v>2.3924</v>
      </c>
      <c r="J47" s="60">
        <v>8.263584148228544</v>
      </c>
      <c r="K47" s="60">
        <v>1.1085295808599267</v>
      </c>
      <c r="L47" s="60">
        <v>716.2612723601753</v>
      </c>
      <c r="M47" s="60">
        <v>1.28</v>
      </c>
      <c r="N47" s="60">
        <v>19.54</v>
      </c>
      <c r="O47" s="60">
        <v>38.79853533009744</v>
      </c>
      <c r="P47" s="60">
        <v>10.58141872639021</v>
      </c>
      <c r="Q47" s="60">
        <v>55.426479042996334</v>
      </c>
      <c r="R47" s="60">
        <v>3409.736215308693</v>
      </c>
    </row>
    <row r="48" ht="14.25" customHeight="1">
      <c r="A48" s="59" t="s">
        <v>336</v>
      </c>
      <c r="B48" s="18">
        <v>2020.0</v>
      </c>
      <c r="C48" s="60">
        <v>0.22</v>
      </c>
      <c r="D48" s="60">
        <v>4.272889911187783</v>
      </c>
      <c r="E48" s="60">
        <v>30.9263213</v>
      </c>
      <c r="F48" s="60">
        <v>43.6336229</v>
      </c>
      <c r="G48" s="60">
        <v>28.719</v>
      </c>
      <c r="H48" s="60">
        <v>0.0</v>
      </c>
      <c r="I48" s="60">
        <v>0.25</v>
      </c>
      <c r="J48" s="60">
        <v>0.0</v>
      </c>
      <c r="K48" s="60">
        <v>0.0</v>
      </c>
      <c r="L48" s="60">
        <v>0.0</v>
      </c>
      <c r="M48" s="60">
        <v>0.0</v>
      </c>
      <c r="N48" s="60">
        <v>0.0</v>
      </c>
      <c r="O48" s="60">
        <v>0.0</v>
      </c>
      <c r="P48" s="60">
        <v>0.0</v>
      </c>
      <c r="Q48" s="60">
        <v>0.0</v>
      </c>
      <c r="R48" s="60">
        <v>0.0</v>
      </c>
    </row>
    <row r="49" ht="14.25" customHeight="1">
      <c r="A49" s="61" t="s">
        <v>331</v>
      </c>
      <c r="B49" s="18">
        <v>2020.0</v>
      </c>
      <c r="C49" s="60">
        <v>5.850000000000001</v>
      </c>
      <c r="D49" s="60">
        <v>6.339924996727269</v>
      </c>
      <c r="E49" s="60">
        <v>32.1534294</v>
      </c>
      <c r="F49" s="60">
        <v>60.5876506</v>
      </c>
      <c r="G49" s="60">
        <v>3773.585</v>
      </c>
      <c r="H49" s="60">
        <v>792.453</v>
      </c>
      <c r="I49" s="60">
        <v>0.3333</v>
      </c>
      <c r="J49" s="60">
        <v>0.0</v>
      </c>
      <c r="K49" s="60">
        <v>0.0</v>
      </c>
      <c r="L49" s="60">
        <v>0.0</v>
      </c>
      <c r="M49" s="60">
        <v>0.0</v>
      </c>
      <c r="N49" s="60">
        <v>0.0</v>
      </c>
      <c r="O49" s="60">
        <v>0.0</v>
      </c>
      <c r="P49" s="60">
        <v>0.0</v>
      </c>
      <c r="Q49" s="60">
        <v>0.0</v>
      </c>
      <c r="R49" s="60">
        <v>190.588398364405</v>
      </c>
    </row>
    <row r="50" ht="14.25" customHeight="1">
      <c r="A50" s="59" t="s">
        <v>328</v>
      </c>
      <c r="B50" s="18">
        <v>2020.0</v>
      </c>
      <c r="C50" s="60">
        <v>11.559999999999999</v>
      </c>
      <c r="D50" s="60">
        <v>16.530816072490875</v>
      </c>
      <c r="E50" s="60">
        <v>28.7517416</v>
      </c>
      <c r="F50" s="60">
        <v>61.6569883</v>
      </c>
      <c r="G50" s="60">
        <v>6621.948</v>
      </c>
      <c r="H50" s="60">
        <v>940.024</v>
      </c>
      <c r="I50" s="60">
        <v>1.45</v>
      </c>
      <c r="J50" s="60">
        <v>4.4100726058317195</v>
      </c>
      <c r="K50" s="60">
        <v>0.20045784571962363</v>
      </c>
      <c r="L50" s="60">
        <v>441.00726058317196</v>
      </c>
      <c r="M50" s="60">
        <v>1.57</v>
      </c>
      <c r="N50" s="60">
        <v>26.23</v>
      </c>
      <c r="O50" s="60">
        <v>2.0045784571962364</v>
      </c>
      <c r="P50" s="60">
        <v>0.0</v>
      </c>
      <c r="Q50" s="60">
        <v>0.0</v>
      </c>
      <c r="R50" s="60">
        <v>290.6638762934542</v>
      </c>
    </row>
    <row r="51" ht="14.25" customHeight="1">
      <c r="A51" s="61" t="s">
        <v>312</v>
      </c>
      <c r="B51" s="18">
        <v>2020.0</v>
      </c>
      <c r="C51" s="62">
        <v>21.47</v>
      </c>
      <c r="D51" s="62">
        <v>13.017851841108907</v>
      </c>
      <c r="E51" s="62">
        <v>41.1402346</v>
      </c>
      <c r="F51" s="62">
        <v>75.0089269</v>
      </c>
      <c r="G51" s="62">
        <v>8129.973</v>
      </c>
      <c r="H51" s="62">
        <v>1307.08</v>
      </c>
      <c r="I51" s="62">
        <v>1.1538</v>
      </c>
      <c r="J51" s="62">
        <v>3.323648590634512</v>
      </c>
      <c r="K51" s="62">
        <v>0.0</v>
      </c>
      <c r="L51" s="62">
        <v>310.2072017925545</v>
      </c>
      <c r="M51" s="62">
        <v>1.61</v>
      </c>
      <c r="N51" s="62">
        <v>16.29</v>
      </c>
      <c r="O51" s="62">
        <v>27.697071588620936</v>
      </c>
      <c r="P51" s="62">
        <v>0.0</v>
      </c>
      <c r="Q51" s="62">
        <v>0.0</v>
      </c>
      <c r="R51" s="62">
        <v>645.3417680148677</v>
      </c>
    </row>
    <row r="52" ht="14.25" customHeight="1">
      <c r="A52" s="59" t="s">
        <v>314</v>
      </c>
      <c r="B52" s="18">
        <v>2020.0</v>
      </c>
      <c r="C52" s="62">
        <v>19.959999999999997</v>
      </c>
      <c r="D52" s="62">
        <v>14.866929847963217</v>
      </c>
      <c r="E52" s="62">
        <v>42.7814897</v>
      </c>
      <c r="F52" s="62">
        <v>72.1282517</v>
      </c>
      <c r="G52" s="62">
        <v>8620.962</v>
      </c>
      <c r="H52" s="62">
        <v>1130.514</v>
      </c>
      <c r="I52" s="62">
        <v>1.1852</v>
      </c>
      <c r="J52" s="62">
        <v>2.036929532422826</v>
      </c>
      <c r="K52" s="62">
        <v>0.7638485746585597</v>
      </c>
      <c r="L52" s="62">
        <v>593.2557263181479</v>
      </c>
      <c r="M52" s="62">
        <v>0.66</v>
      </c>
      <c r="N52" s="62">
        <v>19.16</v>
      </c>
      <c r="O52" s="62">
        <v>0.0</v>
      </c>
      <c r="P52" s="62">
        <v>0.0</v>
      </c>
      <c r="Q52" s="62">
        <v>0.0</v>
      </c>
      <c r="R52" s="62">
        <v>381.9242873292798</v>
      </c>
    </row>
    <row r="53" ht="14.25" customHeight="1">
      <c r="A53" s="61" t="s">
        <v>309</v>
      </c>
      <c r="B53" s="18">
        <v>2020.0</v>
      </c>
      <c r="C53" s="60">
        <v>22.65246249790249</v>
      </c>
      <c r="D53" s="60">
        <v>14.94212591019457</v>
      </c>
      <c r="E53" s="60">
        <v>51.4211928</v>
      </c>
      <c r="F53" s="60">
        <v>84.527515</v>
      </c>
      <c r="G53" s="60">
        <v>13598.171</v>
      </c>
      <c r="H53" s="60">
        <v>2159.631</v>
      </c>
      <c r="I53" s="60">
        <v>1.4706</v>
      </c>
      <c r="J53" s="60">
        <v>7.211275105984942</v>
      </c>
      <c r="K53" s="60">
        <v>0.2773567348455747</v>
      </c>
      <c r="L53" s="60">
        <v>439.6104247302359</v>
      </c>
      <c r="M53" s="60">
        <v>1.32</v>
      </c>
      <c r="N53" s="60">
        <v>30.19</v>
      </c>
      <c r="O53" s="60">
        <v>33.282808181468965</v>
      </c>
      <c r="P53" s="60">
        <v>15.25462041650661</v>
      </c>
      <c r="Q53" s="60">
        <v>26.3488898103296</v>
      </c>
      <c r="R53" s="60">
        <v>1428.3871844547098</v>
      </c>
    </row>
    <row r="54" ht="14.25" customHeight="1">
      <c r="A54" s="59" t="s">
        <v>316</v>
      </c>
      <c r="B54" s="18">
        <v>2020.0</v>
      </c>
      <c r="C54" s="60">
        <v>17.97</v>
      </c>
      <c r="D54" s="60">
        <v>14.60081090795704</v>
      </c>
      <c r="E54" s="60">
        <v>44.2661172</v>
      </c>
      <c r="F54" s="60">
        <v>73.6735016</v>
      </c>
      <c r="G54" s="60">
        <v>19013.287</v>
      </c>
      <c r="H54" s="60">
        <v>1826.967</v>
      </c>
      <c r="I54" s="60">
        <v>1.7143</v>
      </c>
      <c r="J54" s="60">
        <v>7.453624480187335</v>
      </c>
      <c r="K54" s="60">
        <v>0.6211353733489445</v>
      </c>
      <c r="L54" s="60">
        <v>698.7772950175626</v>
      </c>
      <c r="M54" s="60">
        <v>2.23</v>
      </c>
      <c r="N54" s="60">
        <v>20.85</v>
      </c>
      <c r="O54" s="60">
        <v>31.056768667447226</v>
      </c>
      <c r="P54" s="60">
        <v>0.0</v>
      </c>
      <c r="Q54" s="60">
        <v>0.0</v>
      </c>
      <c r="R54" s="60">
        <v>521.7537136131134</v>
      </c>
    </row>
    <row r="55" ht="14.25" customHeight="1">
      <c r="A55" s="61" t="s">
        <v>333</v>
      </c>
      <c r="B55" s="18">
        <v>2020.0</v>
      </c>
      <c r="C55" s="60">
        <v>5.33</v>
      </c>
      <c r="D55" s="60">
        <v>1.199736965622074</v>
      </c>
      <c r="E55" s="60">
        <v>23.4276621</v>
      </c>
      <c r="F55" s="60">
        <v>52.9701453</v>
      </c>
      <c r="G55" s="60">
        <v>1871.921</v>
      </c>
      <c r="H55" s="60">
        <v>344.828</v>
      </c>
      <c r="I55" s="60">
        <v>1.2</v>
      </c>
      <c r="J55" s="60">
        <v>0.0</v>
      </c>
      <c r="K55" s="60">
        <v>0.0</v>
      </c>
      <c r="L55" s="60">
        <v>48.84243430692585</v>
      </c>
      <c r="M55" s="60">
        <v>0.0</v>
      </c>
      <c r="N55" s="60">
        <v>0.0</v>
      </c>
      <c r="O55" s="60">
        <v>0.0</v>
      </c>
      <c r="P55" s="60">
        <v>0.0</v>
      </c>
      <c r="Q55" s="60">
        <v>0.0</v>
      </c>
      <c r="R55" s="60">
        <v>0.0</v>
      </c>
    </row>
    <row r="56" ht="14.25" customHeight="1">
      <c r="A56" s="59" t="s">
        <v>325</v>
      </c>
      <c r="B56" s="18">
        <v>2020.0</v>
      </c>
      <c r="C56" s="60">
        <v>13.05</v>
      </c>
      <c r="D56" s="60">
        <v>6.651614647811102</v>
      </c>
      <c r="E56" s="60">
        <v>25.807755</v>
      </c>
      <c r="F56" s="60">
        <v>61.4496607</v>
      </c>
      <c r="G56" s="60">
        <v>5398.395</v>
      </c>
      <c r="H56" s="60">
        <v>543.082</v>
      </c>
      <c r="I56" s="60">
        <v>0.8462</v>
      </c>
      <c r="J56" s="60">
        <v>1.537964657572169</v>
      </c>
      <c r="K56" s="60">
        <v>0.0</v>
      </c>
      <c r="L56" s="60">
        <v>276.8336383629904</v>
      </c>
      <c r="M56" s="60">
        <v>0.0</v>
      </c>
      <c r="N56" s="60">
        <v>33.33</v>
      </c>
      <c r="O56" s="60">
        <v>0.0</v>
      </c>
      <c r="P56" s="60">
        <v>0.0</v>
      </c>
      <c r="Q56" s="60">
        <v>0.0</v>
      </c>
      <c r="R56" s="60">
        <v>276.8336383629904</v>
      </c>
    </row>
    <row r="57" ht="14.25" customHeight="1">
      <c r="A57" s="61" t="s">
        <v>326</v>
      </c>
      <c r="B57" s="18">
        <v>2020.0</v>
      </c>
      <c r="C57" s="60">
        <v>10.97</v>
      </c>
      <c r="D57" s="60">
        <v>12.219701543104454</v>
      </c>
      <c r="E57" s="60">
        <v>21.2747217</v>
      </c>
      <c r="F57" s="60">
        <v>63.8804531</v>
      </c>
      <c r="G57" s="60">
        <v>4632.655</v>
      </c>
      <c r="H57" s="60">
        <v>490.144</v>
      </c>
      <c r="I57" s="60">
        <v>1.5</v>
      </c>
      <c r="J57" s="60">
        <v>6.1303621511440785</v>
      </c>
      <c r="K57" s="60">
        <v>0.0</v>
      </c>
      <c r="L57" s="60">
        <v>577.2757692327341</v>
      </c>
      <c r="M57" s="60">
        <v>1.67</v>
      </c>
      <c r="N57" s="60">
        <v>13.64</v>
      </c>
      <c r="O57" s="60">
        <v>0.0</v>
      </c>
      <c r="P57" s="60">
        <v>10.217270251906799</v>
      </c>
      <c r="Q57" s="60">
        <v>10.217270251906799</v>
      </c>
      <c r="R57" s="60">
        <v>97.06406739311458</v>
      </c>
    </row>
    <row r="58" ht="14.25" customHeight="1">
      <c r="A58" s="59" t="s">
        <v>330</v>
      </c>
      <c r="B58" s="18">
        <v>2020.0</v>
      </c>
      <c r="C58" s="60">
        <v>7.199999999999999</v>
      </c>
      <c r="D58" s="60">
        <v>1.6701513341298289</v>
      </c>
      <c r="E58" s="60">
        <v>36.9095316</v>
      </c>
      <c r="F58" s="60">
        <v>77.3384541</v>
      </c>
      <c r="G58" s="60">
        <v>6229.037</v>
      </c>
      <c r="H58" s="60">
        <v>239.578</v>
      </c>
      <c r="I58" s="60">
        <v>0.5</v>
      </c>
      <c r="J58" s="60">
        <v>0.0</v>
      </c>
      <c r="K58" s="60">
        <v>0.0</v>
      </c>
      <c r="L58" s="60">
        <v>106.46225912913872</v>
      </c>
      <c r="M58" s="60">
        <v>0.0</v>
      </c>
      <c r="N58" s="60">
        <v>0.0</v>
      </c>
      <c r="O58" s="60">
        <v>17.743709854856455</v>
      </c>
      <c r="P58" s="60">
        <v>0.0</v>
      </c>
      <c r="Q58" s="60">
        <v>0.0</v>
      </c>
      <c r="R58" s="60">
        <v>1863.0895347599276</v>
      </c>
    </row>
    <row r="59" ht="14.25" customHeight="1">
      <c r="A59" s="61" t="s">
        <v>332</v>
      </c>
      <c r="B59" s="18">
        <v>2020.0</v>
      </c>
      <c r="C59" s="60">
        <v>4.14</v>
      </c>
      <c r="D59" s="60">
        <v>8.987914125195577</v>
      </c>
      <c r="E59" s="60">
        <v>37.6311112</v>
      </c>
      <c r="F59" s="60">
        <v>69.987768</v>
      </c>
      <c r="G59" s="60">
        <v>8002.964</v>
      </c>
      <c r="H59" s="60">
        <v>500.185</v>
      </c>
      <c r="I59" s="60">
        <v>1.0</v>
      </c>
      <c r="J59" s="60">
        <v>1.840502088969871</v>
      </c>
      <c r="K59" s="60">
        <v>0.0</v>
      </c>
      <c r="L59" s="60">
        <v>0.0</v>
      </c>
      <c r="M59" s="60">
        <v>0.0</v>
      </c>
      <c r="N59" s="60">
        <v>0.0</v>
      </c>
      <c r="O59" s="60">
        <v>0.0</v>
      </c>
      <c r="P59" s="60">
        <v>0.0</v>
      </c>
      <c r="Q59" s="60">
        <v>0.0</v>
      </c>
      <c r="R59" s="60">
        <v>18.40502088969871</v>
      </c>
    </row>
    <row r="60" ht="14.25" customHeight="1">
      <c r="A60" s="59" t="s">
        <v>319</v>
      </c>
      <c r="B60" s="18">
        <v>2020.0</v>
      </c>
      <c r="C60" s="60">
        <v>15.939999999999998</v>
      </c>
      <c r="D60" s="60">
        <v>18.941845332847187</v>
      </c>
      <c r="E60" s="60">
        <v>32.4156835</v>
      </c>
      <c r="F60" s="60">
        <v>65.5020616</v>
      </c>
      <c r="G60" s="60">
        <v>6761.905</v>
      </c>
      <c r="H60" s="60">
        <v>749.206</v>
      </c>
      <c r="I60" s="60">
        <v>1.8235</v>
      </c>
      <c r="J60" s="60">
        <v>5.563666571380883</v>
      </c>
      <c r="K60" s="60">
        <v>0.7674022857077079</v>
      </c>
      <c r="L60" s="60">
        <v>439.3378085676628</v>
      </c>
      <c r="M60" s="60">
        <v>1.4</v>
      </c>
      <c r="N60" s="60">
        <v>27.23</v>
      </c>
      <c r="O60" s="60">
        <v>3.8370114285385397</v>
      </c>
      <c r="P60" s="60">
        <v>1.9185057142692699</v>
      </c>
      <c r="Q60" s="60">
        <v>3.8370114285385397</v>
      </c>
      <c r="R60" s="60">
        <v>351.0865457112764</v>
      </c>
    </row>
    <row r="61" ht="14.25" customHeight="1">
      <c r="A61" s="61" t="s">
        <v>323</v>
      </c>
      <c r="B61" s="18">
        <v>2020.0</v>
      </c>
      <c r="C61" s="60">
        <v>12.659999999999998</v>
      </c>
      <c r="D61" s="60">
        <v>13.507654320130314</v>
      </c>
      <c r="E61" s="60">
        <v>28.7125195</v>
      </c>
      <c r="F61" s="60">
        <v>58.8642499</v>
      </c>
      <c r="G61" s="60">
        <v>4155.977</v>
      </c>
      <c r="H61" s="60">
        <v>1006.433</v>
      </c>
      <c r="I61" s="60">
        <v>1.3333</v>
      </c>
      <c r="J61" s="60">
        <v>4.186508974828615</v>
      </c>
      <c r="K61" s="60">
        <v>0.0</v>
      </c>
      <c r="L61" s="60">
        <v>558.2011966438153</v>
      </c>
      <c r="M61" s="60">
        <v>0.87</v>
      </c>
      <c r="N61" s="60">
        <v>16.67</v>
      </c>
      <c r="O61" s="60">
        <v>3.4887574790238456</v>
      </c>
      <c r="P61" s="60">
        <v>0.0</v>
      </c>
      <c r="Q61" s="60">
        <v>0.0</v>
      </c>
      <c r="R61" s="60">
        <v>202.34793378338304</v>
      </c>
    </row>
    <row r="62" ht="14.25" customHeight="1">
      <c r="A62" s="59" t="s">
        <v>308</v>
      </c>
      <c r="B62" s="18">
        <v>2020.0</v>
      </c>
      <c r="C62" s="60">
        <v>24.89</v>
      </c>
      <c r="D62" s="60">
        <v>14.071484026219407</v>
      </c>
      <c r="E62" s="60">
        <v>47.8052586</v>
      </c>
      <c r="F62" s="60">
        <v>76.2476438</v>
      </c>
      <c r="G62" s="60">
        <v>21307.716</v>
      </c>
      <c r="H62" s="60">
        <v>2454.292</v>
      </c>
      <c r="I62" s="60">
        <v>2.6875</v>
      </c>
      <c r="J62" s="60">
        <v>16.444850210097137</v>
      </c>
      <c r="K62" s="60">
        <v>2.308265623822151</v>
      </c>
      <c r="L62" s="60">
        <v>1044.2392810987758</v>
      </c>
      <c r="M62" s="60">
        <v>1.28</v>
      </c>
      <c r="N62" s="60">
        <v>17.22</v>
      </c>
      <c r="O62" s="60">
        <v>28.35319001740886</v>
      </c>
      <c r="P62" s="60">
        <v>5.670638003481772</v>
      </c>
      <c r="Q62" s="60">
        <v>5.670638003481772</v>
      </c>
      <c r="R62" s="60">
        <v>929.9846325710106</v>
      </c>
    </row>
    <row r="63" ht="14.25" customHeight="1">
      <c r="A63" s="61" t="s">
        <v>321</v>
      </c>
      <c r="B63" s="18">
        <v>2020.0</v>
      </c>
      <c r="C63" s="60">
        <v>14.000000000000002</v>
      </c>
      <c r="D63" s="60">
        <v>16.585054904409176</v>
      </c>
      <c r="E63" s="60">
        <v>32.0259881</v>
      </c>
      <c r="F63" s="60">
        <v>72.0159745</v>
      </c>
      <c r="G63" s="60">
        <v>5910.914</v>
      </c>
      <c r="H63" s="60">
        <v>667.089</v>
      </c>
      <c r="I63" s="60">
        <v>1.3889</v>
      </c>
      <c r="J63" s="60">
        <v>1.5573746556741972</v>
      </c>
      <c r="K63" s="60">
        <v>0.0</v>
      </c>
      <c r="L63" s="60">
        <v>153.790747247827</v>
      </c>
      <c r="M63" s="60">
        <v>1.32</v>
      </c>
      <c r="N63" s="60">
        <v>41.79</v>
      </c>
      <c r="O63" s="60">
        <v>0.0</v>
      </c>
      <c r="P63" s="60">
        <v>0.0</v>
      </c>
      <c r="Q63" s="60">
        <v>1.9467183195927464</v>
      </c>
      <c r="R63" s="60">
        <v>210.24557851601662</v>
      </c>
    </row>
    <row r="64" ht="14.25" customHeight="1">
      <c r="A64" s="59" t="s">
        <v>317</v>
      </c>
      <c r="B64" s="18">
        <v>2020.0</v>
      </c>
      <c r="C64" s="60">
        <v>18.360000000000003</v>
      </c>
      <c r="D64" s="60">
        <v>20.67704151608861</v>
      </c>
      <c r="E64" s="60">
        <v>42.7387475</v>
      </c>
      <c r="F64" s="60">
        <v>80.9379442</v>
      </c>
      <c r="G64" s="60">
        <v>3448.132</v>
      </c>
      <c r="H64" s="60">
        <v>766.484</v>
      </c>
      <c r="I64" s="60">
        <v>1.0</v>
      </c>
      <c r="J64" s="60">
        <v>0.7423574302555194</v>
      </c>
      <c r="K64" s="60">
        <v>0.0</v>
      </c>
      <c r="L64" s="60">
        <v>228.27490980357223</v>
      </c>
      <c r="M64" s="60">
        <v>1.39</v>
      </c>
      <c r="N64" s="60">
        <v>7.0</v>
      </c>
      <c r="O64" s="60">
        <v>7.423574302555195</v>
      </c>
      <c r="P64" s="60">
        <v>3.7117871512775973</v>
      </c>
      <c r="Q64" s="60">
        <v>1.8558935756387986</v>
      </c>
      <c r="R64" s="60">
        <v>352.61977937137175</v>
      </c>
    </row>
    <row r="65" ht="14.25" customHeight="1">
      <c r="A65" s="61" t="s">
        <v>322</v>
      </c>
      <c r="B65" s="18">
        <v>2020.0</v>
      </c>
      <c r="C65" s="60">
        <v>16.919999999999998</v>
      </c>
      <c r="D65" s="60">
        <v>12.650764607446677</v>
      </c>
      <c r="E65" s="60">
        <v>43.496832</v>
      </c>
      <c r="F65" s="60">
        <v>75.662099</v>
      </c>
      <c r="G65" s="60">
        <v>5156.191</v>
      </c>
      <c r="H65" s="60">
        <v>470.455</v>
      </c>
      <c r="I65" s="60">
        <v>0.8889</v>
      </c>
      <c r="J65" s="60">
        <v>0.0</v>
      </c>
      <c r="K65" s="60">
        <v>0.0</v>
      </c>
      <c r="L65" s="60">
        <v>74.8804792350671</v>
      </c>
      <c r="M65" s="60">
        <v>0.08</v>
      </c>
      <c r="N65" s="60">
        <v>0.0</v>
      </c>
      <c r="O65" s="60">
        <v>0.0</v>
      </c>
      <c r="P65" s="60">
        <v>0.0</v>
      </c>
      <c r="Q65" s="60">
        <v>5.760036864235931</v>
      </c>
      <c r="R65" s="60">
        <v>316.8020275329762</v>
      </c>
    </row>
    <row r="66" ht="14.25" customHeight="1">
      <c r="A66" s="63" t="s">
        <v>329</v>
      </c>
      <c r="B66" s="64">
        <v>2021.0</v>
      </c>
      <c r="C66" s="60">
        <v>10.05</v>
      </c>
      <c r="D66" s="60">
        <v>8.780619183915979</v>
      </c>
      <c r="E66" s="60">
        <v>22.427528</v>
      </c>
      <c r="F66" s="60">
        <v>68.294633</v>
      </c>
      <c r="G66" s="60">
        <v>870.793</v>
      </c>
      <c r="H66" s="60">
        <v>188.28</v>
      </c>
      <c r="I66" s="60">
        <v>0.2857</v>
      </c>
      <c r="J66" s="60">
        <v>0.0</v>
      </c>
      <c r="K66" s="60">
        <v>0.0</v>
      </c>
      <c r="L66" s="60">
        <v>53.50054035545759</v>
      </c>
      <c r="M66" s="60">
        <v>0.0</v>
      </c>
      <c r="N66" s="60">
        <v>0.0</v>
      </c>
      <c r="O66" s="60">
        <v>0.0</v>
      </c>
      <c r="P66" s="60">
        <v>0.0</v>
      </c>
      <c r="Q66" s="60">
        <v>0.0</v>
      </c>
      <c r="R66" s="60">
        <v>117.7011887820067</v>
      </c>
    </row>
    <row r="67" ht="14.25" customHeight="1">
      <c r="A67" s="59" t="s">
        <v>306</v>
      </c>
      <c r="B67" s="18">
        <v>2021.0</v>
      </c>
      <c r="C67" s="60">
        <v>28.24</v>
      </c>
      <c r="D67" s="60">
        <v>26.085015236607365</v>
      </c>
      <c r="E67" s="60">
        <v>41.7978921</v>
      </c>
      <c r="F67" s="60">
        <v>74.6341675</v>
      </c>
      <c r="G67" s="60">
        <v>12812.76</v>
      </c>
      <c r="H67" s="60">
        <v>1034.135</v>
      </c>
      <c r="I67" s="60">
        <v>1.3889</v>
      </c>
      <c r="J67" s="60">
        <v>1.9827304180587086</v>
      </c>
      <c r="K67" s="60">
        <v>0.33045506967645144</v>
      </c>
      <c r="L67" s="60">
        <v>508.9008073017352</v>
      </c>
      <c r="M67" s="60">
        <v>1.01</v>
      </c>
      <c r="N67" s="60">
        <v>19.86</v>
      </c>
      <c r="O67" s="60">
        <v>56.177361844996746</v>
      </c>
      <c r="P67" s="60">
        <v>19.827304180587085</v>
      </c>
      <c r="Q67" s="60">
        <v>23.1318548773516</v>
      </c>
      <c r="R67" s="60">
        <v>938.4923978811221</v>
      </c>
    </row>
    <row r="68" ht="14.25" customHeight="1">
      <c r="A68" s="61" t="s">
        <v>320</v>
      </c>
      <c r="B68" s="18">
        <v>2021.0</v>
      </c>
      <c r="C68" s="60">
        <v>17.822437735623335</v>
      </c>
      <c r="D68" s="60">
        <v>37.778913163192264</v>
      </c>
      <c r="E68" s="60">
        <v>44.9828088</v>
      </c>
      <c r="F68" s="60">
        <v>77.6434464</v>
      </c>
      <c r="G68" s="60">
        <v>6870.28</v>
      </c>
      <c r="H68" s="60">
        <v>1008.939</v>
      </c>
      <c r="I68" s="60">
        <v>1.9524</v>
      </c>
      <c r="J68" s="60">
        <v>6.607899718097633</v>
      </c>
      <c r="K68" s="60">
        <v>1.300767661042841</v>
      </c>
      <c r="L68" s="60">
        <v>626.4497055582323</v>
      </c>
      <c r="M68" s="60">
        <v>1.17</v>
      </c>
      <c r="N68" s="60">
        <v>21.06</v>
      </c>
      <c r="O68" s="60">
        <v>17.69044019018264</v>
      </c>
      <c r="P68" s="60">
        <v>5.203070644171364</v>
      </c>
      <c r="Q68" s="60">
        <v>5.723377708588501</v>
      </c>
      <c r="R68" s="60">
        <v>1145.7161558465343</v>
      </c>
    </row>
    <row r="69" ht="14.25" customHeight="1">
      <c r="A69" s="59" t="s">
        <v>305</v>
      </c>
      <c r="B69" s="18">
        <v>2021.0</v>
      </c>
      <c r="C69" s="60">
        <v>26.8</v>
      </c>
      <c r="D69" s="60">
        <v>44.954478148902204</v>
      </c>
      <c r="E69" s="60">
        <v>63.8970816</v>
      </c>
      <c r="F69" s="60">
        <v>87.1739279</v>
      </c>
      <c r="G69" s="60">
        <v>10571.802</v>
      </c>
      <c r="H69" s="60">
        <v>1551.204</v>
      </c>
      <c r="I69" s="60">
        <v>2.5985</v>
      </c>
      <c r="J69" s="60">
        <v>7.514070128648381</v>
      </c>
      <c r="K69" s="60">
        <v>1.5519594069497518</v>
      </c>
      <c r="L69" s="60">
        <v>694.8898244617513</v>
      </c>
      <c r="M69" s="60">
        <v>1.72</v>
      </c>
      <c r="N69" s="60">
        <v>19.85</v>
      </c>
      <c r="O69" s="60">
        <v>37.505685667952335</v>
      </c>
      <c r="P69" s="60">
        <v>15.77825397065581</v>
      </c>
      <c r="Q69" s="60">
        <v>29.099238880307844</v>
      </c>
      <c r="R69" s="60">
        <v>3389.8673346299956</v>
      </c>
    </row>
    <row r="70" ht="14.25" customHeight="1">
      <c r="A70" s="61" t="s">
        <v>310</v>
      </c>
      <c r="B70" s="18">
        <v>2021.0</v>
      </c>
      <c r="C70" s="60">
        <v>23.03555169435682</v>
      </c>
      <c r="D70" s="60">
        <v>37.42595321117069</v>
      </c>
      <c r="E70" s="60">
        <v>50.178464</v>
      </c>
      <c r="F70" s="60">
        <v>80.1755219</v>
      </c>
      <c r="G70" s="60">
        <v>10160.879</v>
      </c>
      <c r="H70" s="60">
        <v>1137.499</v>
      </c>
      <c r="I70" s="60">
        <v>2.3889</v>
      </c>
      <c r="J70" s="60">
        <v>6.700230882073571</v>
      </c>
      <c r="K70" s="60">
        <v>0.6306099653716303</v>
      </c>
      <c r="L70" s="60">
        <v>646.3752145059211</v>
      </c>
      <c r="M70" s="60">
        <v>1.17</v>
      </c>
      <c r="N70" s="60">
        <v>19.36</v>
      </c>
      <c r="O70" s="60">
        <v>43.35443511929959</v>
      </c>
      <c r="P70" s="60">
        <v>9.459149480574455</v>
      </c>
      <c r="Q70" s="60">
        <v>14.188724220861682</v>
      </c>
      <c r="R70" s="60">
        <v>1177.6641103315194</v>
      </c>
    </row>
    <row r="71" ht="14.25" customHeight="1">
      <c r="A71" s="59" t="s">
        <v>311</v>
      </c>
      <c r="B71" s="18">
        <v>2021.0</v>
      </c>
      <c r="C71" s="60">
        <v>23.537501685582296</v>
      </c>
      <c r="D71" s="60">
        <v>39.10646990002033</v>
      </c>
      <c r="E71" s="60">
        <v>50.9490479</v>
      </c>
      <c r="F71" s="60">
        <v>82.9603413</v>
      </c>
      <c r="G71" s="60">
        <v>5750.242</v>
      </c>
      <c r="H71" s="60">
        <v>698.676</v>
      </c>
      <c r="I71" s="60">
        <v>1.7931</v>
      </c>
      <c r="J71" s="60">
        <v>6.405715246571573</v>
      </c>
      <c r="K71" s="60">
        <v>0.6321429519642999</v>
      </c>
      <c r="L71" s="60">
        <v>493.071502532154</v>
      </c>
      <c r="M71" s="60">
        <v>1.25</v>
      </c>
      <c r="N71" s="60">
        <v>23.36</v>
      </c>
      <c r="O71" s="60">
        <v>22.33571763607193</v>
      </c>
      <c r="P71" s="60">
        <v>7.164286788928733</v>
      </c>
      <c r="Q71" s="60">
        <v>21.492860366786196</v>
      </c>
      <c r="R71" s="60">
        <v>2029.6003044400456</v>
      </c>
    </row>
    <row r="72" ht="14.25" customHeight="1">
      <c r="A72" s="61" t="s">
        <v>318</v>
      </c>
      <c r="B72" s="18">
        <v>2021.0</v>
      </c>
      <c r="C72" s="60">
        <v>16.03</v>
      </c>
      <c r="D72" s="60">
        <v>41.7447753483169</v>
      </c>
      <c r="E72" s="60">
        <v>30.9877813</v>
      </c>
      <c r="F72" s="60">
        <v>66.8982851</v>
      </c>
      <c r="G72" s="60">
        <v>4730.181</v>
      </c>
      <c r="H72" s="60">
        <v>686.244</v>
      </c>
      <c r="I72" s="60">
        <v>1.5263</v>
      </c>
      <c r="J72" s="60">
        <v>5.011713652301064</v>
      </c>
      <c r="K72" s="60">
        <v>0.19653779028631624</v>
      </c>
      <c r="L72" s="60">
        <v>438.2792723384852</v>
      </c>
      <c r="M72" s="60">
        <v>0.0</v>
      </c>
      <c r="N72" s="60">
        <v>29.32</v>
      </c>
      <c r="O72" s="60">
        <v>2.9480668542947437</v>
      </c>
      <c r="P72" s="60">
        <v>1.9653779028631626</v>
      </c>
      <c r="Q72" s="60">
        <v>14.740334271473719</v>
      </c>
      <c r="R72" s="60">
        <v>736.0340246222543</v>
      </c>
    </row>
    <row r="73" ht="14.25" customHeight="1">
      <c r="A73" s="59" t="s">
        <v>324</v>
      </c>
      <c r="B73" s="18">
        <v>2021.0</v>
      </c>
      <c r="C73" s="60">
        <v>14.597711227501842</v>
      </c>
      <c r="D73" s="60">
        <v>35.81917692288852</v>
      </c>
      <c r="E73" s="60">
        <v>39.469189</v>
      </c>
      <c r="F73" s="60">
        <v>74.5790211</v>
      </c>
      <c r="G73" s="60">
        <v>6035.904</v>
      </c>
      <c r="H73" s="60">
        <v>606.836</v>
      </c>
      <c r="I73" s="60">
        <v>1.3462</v>
      </c>
      <c r="J73" s="60">
        <v>1.7875195385816232</v>
      </c>
      <c r="K73" s="60">
        <v>0.4965332051615619</v>
      </c>
      <c r="L73" s="60">
        <v>219.46767668141038</v>
      </c>
      <c r="M73" s="60">
        <v>1.22</v>
      </c>
      <c r="N73" s="60">
        <v>19.56</v>
      </c>
      <c r="O73" s="60">
        <v>9.930664103231239</v>
      </c>
      <c r="P73" s="60">
        <v>0.993066410323124</v>
      </c>
      <c r="Q73" s="60">
        <v>2.9791992309693716</v>
      </c>
      <c r="R73" s="60">
        <v>595.8398461938743</v>
      </c>
    </row>
    <row r="74" ht="14.25" customHeight="1">
      <c r="A74" s="61" t="s">
        <v>327</v>
      </c>
      <c r="B74" s="18">
        <v>2021.0</v>
      </c>
      <c r="C74" s="60">
        <v>13.76</v>
      </c>
      <c r="D74" s="60">
        <v>16.544085935253747</v>
      </c>
      <c r="E74" s="60">
        <v>32.6068438</v>
      </c>
      <c r="F74" s="60">
        <v>67.6345425</v>
      </c>
      <c r="G74" s="60">
        <v>5331.998</v>
      </c>
      <c r="H74" s="60">
        <v>335.827</v>
      </c>
      <c r="I74" s="60">
        <v>2.3333</v>
      </c>
      <c r="J74" s="60">
        <v>1.1541147074607745</v>
      </c>
      <c r="K74" s="60">
        <v>0.0</v>
      </c>
      <c r="L74" s="60">
        <v>230.8229414921549</v>
      </c>
      <c r="M74" s="60">
        <v>0.92</v>
      </c>
      <c r="N74" s="60">
        <v>13.51</v>
      </c>
      <c r="O74" s="60">
        <v>0.0</v>
      </c>
      <c r="P74" s="60">
        <v>0.0</v>
      </c>
      <c r="Q74" s="60">
        <v>0.0</v>
      </c>
      <c r="R74" s="60">
        <v>155.80548550720457</v>
      </c>
    </row>
    <row r="75" ht="14.25" customHeight="1">
      <c r="A75" s="59" t="s">
        <v>313</v>
      </c>
      <c r="B75" s="18">
        <v>2021.0</v>
      </c>
      <c r="C75" s="60">
        <v>22.42</v>
      </c>
      <c r="D75" s="60">
        <v>36.526064921575355</v>
      </c>
      <c r="E75" s="60">
        <v>43.9243453</v>
      </c>
      <c r="F75" s="60">
        <v>78.4681719</v>
      </c>
      <c r="G75" s="60">
        <v>11094.165</v>
      </c>
      <c r="H75" s="60">
        <v>1201.346</v>
      </c>
      <c r="I75" s="60">
        <v>1.7895</v>
      </c>
      <c r="J75" s="60">
        <v>2.6098027921161586</v>
      </c>
      <c r="K75" s="60">
        <v>0.0</v>
      </c>
      <c r="L75" s="60">
        <v>380.28554970835455</v>
      </c>
      <c r="M75" s="60">
        <v>1.73</v>
      </c>
      <c r="N75" s="60">
        <v>18.97</v>
      </c>
      <c r="O75" s="60">
        <v>16.777303663603877</v>
      </c>
      <c r="P75" s="60">
        <v>3.728289703023084</v>
      </c>
      <c r="Q75" s="60">
        <v>58.78985681116029</v>
      </c>
      <c r="R75" s="60">
        <v>982.4043367465825</v>
      </c>
    </row>
    <row r="76" ht="14.25" customHeight="1">
      <c r="A76" s="61" t="s">
        <v>334</v>
      </c>
      <c r="B76" s="18">
        <v>2021.0</v>
      </c>
      <c r="C76" s="60">
        <v>4.2</v>
      </c>
      <c r="D76" s="60">
        <v>1.2099504766428733</v>
      </c>
      <c r="E76" s="60">
        <v>22.4823118</v>
      </c>
      <c r="F76" s="60">
        <v>49.3755572</v>
      </c>
      <c r="G76" s="60">
        <v>4638.619</v>
      </c>
      <c r="H76" s="60">
        <v>269.687</v>
      </c>
      <c r="I76" s="60">
        <v>2.3333</v>
      </c>
      <c r="J76" s="60">
        <v>0.0</v>
      </c>
      <c r="K76" s="60">
        <v>0.0</v>
      </c>
      <c r="L76" s="60">
        <v>0.0</v>
      </c>
      <c r="M76" s="60">
        <v>0.0</v>
      </c>
      <c r="N76" s="60">
        <v>0.0</v>
      </c>
      <c r="O76" s="60">
        <v>0.0</v>
      </c>
      <c r="P76" s="60">
        <v>0.0</v>
      </c>
      <c r="Q76" s="60">
        <v>0.0</v>
      </c>
      <c r="R76" s="60">
        <v>146.94645271263153</v>
      </c>
    </row>
    <row r="77" ht="14.25" customHeight="1">
      <c r="A77" s="59" t="s">
        <v>335</v>
      </c>
      <c r="B77" s="18">
        <v>2021.0</v>
      </c>
      <c r="C77" s="60">
        <v>2.58</v>
      </c>
      <c r="D77" s="60">
        <v>1.7942439245937507</v>
      </c>
      <c r="E77" s="60">
        <v>16.252225</v>
      </c>
      <c r="F77" s="60">
        <v>44.7464274</v>
      </c>
      <c r="G77" s="60">
        <v>2771.551</v>
      </c>
      <c r="H77" s="60">
        <v>101.895</v>
      </c>
      <c r="I77" s="60">
        <v>0.8</v>
      </c>
      <c r="J77" s="60">
        <v>7.8508341511285575</v>
      </c>
      <c r="K77" s="60">
        <v>0.0</v>
      </c>
      <c r="L77" s="60">
        <v>412.16879293424927</v>
      </c>
      <c r="M77" s="60">
        <v>0.33</v>
      </c>
      <c r="N77" s="60">
        <v>42.87</v>
      </c>
      <c r="O77" s="60">
        <v>0.0</v>
      </c>
      <c r="P77" s="60">
        <v>0.0</v>
      </c>
      <c r="Q77" s="60">
        <v>0.0</v>
      </c>
      <c r="R77" s="60">
        <v>510.30421982335616</v>
      </c>
    </row>
    <row r="78" ht="14.25" customHeight="1">
      <c r="A78" s="61" t="s">
        <v>315</v>
      </c>
      <c r="B78" s="18">
        <v>2021.0</v>
      </c>
      <c r="C78" s="60">
        <v>21.224794592563313</v>
      </c>
      <c r="D78" s="60">
        <v>30.45007592423523</v>
      </c>
      <c r="E78" s="60">
        <v>49.9989657</v>
      </c>
      <c r="F78" s="60">
        <v>77.1251779</v>
      </c>
      <c r="G78" s="60">
        <v>11055.567</v>
      </c>
      <c r="H78" s="60">
        <v>1904.14</v>
      </c>
      <c r="I78" s="60">
        <v>2.7333</v>
      </c>
      <c r="J78" s="60">
        <v>14.241595995185168</v>
      </c>
      <c r="K78" s="60">
        <v>2.145993917082697</v>
      </c>
      <c r="L78" s="60">
        <v>953.9918413213079</v>
      </c>
      <c r="M78" s="60">
        <v>0.62</v>
      </c>
      <c r="N78" s="60">
        <v>32.67</v>
      </c>
      <c r="O78" s="60">
        <v>50.72349258559102</v>
      </c>
      <c r="P78" s="60">
        <v>25.36174629279551</v>
      </c>
      <c r="Q78" s="60">
        <v>25.36174629279551</v>
      </c>
      <c r="R78" s="60">
        <v>1297.3508680545397</v>
      </c>
    </row>
    <row r="79" ht="14.25" customHeight="1">
      <c r="A79" s="59" t="s">
        <v>307</v>
      </c>
      <c r="B79" s="18">
        <v>2021.0</v>
      </c>
      <c r="C79" s="60">
        <v>25.975314250796984</v>
      </c>
      <c r="D79" s="60">
        <v>37.002023230492426</v>
      </c>
      <c r="E79" s="60">
        <v>50.082136</v>
      </c>
      <c r="F79" s="60">
        <v>77.5706897</v>
      </c>
      <c r="G79" s="60">
        <v>9268.905</v>
      </c>
      <c r="H79" s="60">
        <v>1108.692</v>
      </c>
      <c r="I79" s="60">
        <v>2.5065</v>
      </c>
      <c r="J79" s="60">
        <v>8.152856109546548</v>
      </c>
      <c r="K79" s="60">
        <v>1.0936758195733174</v>
      </c>
      <c r="L79" s="60">
        <v>706.663717056123</v>
      </c>
      <c r="M79" s="60">
        <v>1.02</v>
      </c>
      <c r="N79" s="60">
        <v>21.61</v>
      </c>
      <c r="O79" s="60">
        <v>36.53871488119947</v>
      </c>
      <c r="P79" s="60">
        <v>8.451131333066542</v>
      </c>
      <c r="Q79" s="60">
        <v>58.16366858639915</v>
      </c>
      <c r="R79" s="60">
        <v>3350.127885502084</v>
      </c>
    </row>
    <row r="80" ht="14.25" customHeight="1">
      <c r="A80" s="61" t="s">
        <v>336</v>
      </c>
      <c r="B80" s="18">
        <v>2021.0</v>
      </c>
      <c r="C80" s="60">
        <v>0.16</v>
      </c>
      <c r="D80" s="60">
        <v>4.874843716646845</v>
      </c>
      <c r="E80" s="60">
        <v>30.9263213</v>
      </c>
      <c r="F80" s="60">
        <v>43.6336229</v>
      </c>
      <c r="G80" s="60">
        <v>26.969</v>
      </c>
      <c r="H80" s="60">
        <v>0.0</v>
      </c>
      <c r="I80" s="60">
        <v>0.2</v>
      </c>
      <c r="J80" s="60">
        <v>0.0</v>
      </c>
      <c r="K80" s="60">
        <v>0.0</v>
      </c>
      <c r="L80" s="60">
        <v>0.0</v>
      </c>
      <c r="M80" s="60">
        <v>0.0</v>
      </c>
      <c r="N80" s="60">
        <v>0.0</v>
      </c>
      <c r="O80" s="60">
        <v>0.0</v>
      </c>
      <c r="P80" s="60">
        <v>0.0</v>
      </c>
      <c r="Q80" s="60">
        <v>0.0</v>
      </c>
      <c r="R80" s="60">
        <v>0.0</v>
      </c>
    </row>
    <row r="81" ht="14.25" customHeight="1">
      <c r="A81" s="59" t="s">
        <v>331</v>
      </c>
      <c r="B81" s="18">
        <v>2021.0</v>
      </c>
      <c r="C81" s="60">
        <v>5.75</v>
      </c>
      <c r="D81" s="60">
        <v>7.548299096913926</v>
      </c>
      <c r="E81" s="60">
        <v>32.1534294</v>
      </c>
      <c r="F81" s="60">
        <v>60.5876506</v>
      </c>
      <c r="G81" s="60">
        <v>3381.11</v>
      </c>
      <c r="H81" s="60">
        <v>937.155</v>
      </c>
      <c r="I81" s="60">
        <v>0.3333</v>
      </c>
      <c r="J81" s="60">
        <v>0.0</v>
      </c>
      <c r="K81" s="60">
        <v>0.0</v>
      </c>
      <c r="L81" s="60">
        <v>0.0</v>
      </c>
      <c r="M81" s="60">
        <v>0.0</v>
      </c>
      <c r="N81" s="60">
        <v>0.0</v>
      </c>
      <c r="O81" s="60">
        <v>0.0</v>
      </c>
      <c r="P81" s="60">
        <v>0.0</v>
      </c>
      <c r="Q81" s="60">
        <v>0.0</v>
      </c>
      <c r="R81" s="60">
        <v>166.23169373472746</v>
      </c>
    </row>
    <row r="82" ht="14.25" customHeight="1">
      <c r="A82" s="61" t="s">
        <v>328</v>
      </c>
      <c r="B82" s="18">
        <v>2021.0</v>
      </c>
      <c r="C82" s="60">
        <v>12.47</v>
      </c>
      <c r="D82" s="60">
        <v>33.22464195744878</v>
      </c>
      <c r="E82" s="60">
        <v>28.7517416</v>
      </c>
      <c r="F82" s="60">
        <v>61.6569883</v>
      </c>
      <c r="G82" s="60">
        <v>7434.266</v>
      </c>
      <c r="H82" s="60">
        <v>713.781</v>
      </c>
      <c r="I82" s="60">
        <v>1.0</v>
      </c>
      <c r="J82" s="60">
        <v>4.335291439967052</v>
      </c>
      <c r="K82" s="60">
        <v>0.19705870181668417</v>
      </c>
      <c r="L82" s="60">
        <v>433.52914399670516</v>
      </c>
      <c r="M82" s="60">
        <v>1.04</v>
      </c>
      <c r="N82" s="60">
        <v>22.6</v>
      </c>
      <c r="O82" s="60">
        <v>3.9411740363336834</v>
      </c>
      <c r="P82" s="60">
        <v>0.0</v>
      </c>
      <c r="Q82" s="60">
        <v>0.0</v>
      </c>
      <c r="R82" s="60">
        <v>252.23513832535573</v>
      </c>
    </row>
    <row r="83" ht="14.25" customHeight="1">
      <c r="A83" s="59" t="s">
        <v>312</v>
      </c>
      <c r="B83" s="18">
        <v>2021.0</v>
      </c>
      <c r="C83" s="62">
        <v>23.7</v>
      </c>
      <c r="D83" s="62">
        <v>26.142926892256995</v>
      </c>
      <c r="E83" s="62">
        <v>41.1402346</v>
      </c>
      <c r="F83" s="62">
        <v>75.0089269</v>
      </c>
      <c r="G83" s="62">
        <v>7442.698</v>
      </c>
      <c r="H83" s="62">
        <v>1067.453</v>
      </c>
      <c r="I83" s="62">
        <v>1.1739</v>
      </c>
      <c r="J83" s="62">
        <v>3.2628112925898836</v>
      </c>
      <c r="K83" s="62">
        <v>0.0</v>
      </c>
      <c r="L83" s="62">
        <v>304.52905397505583</v>
      </c>
      <c r="M83" s="62">
        <v>1.21</v>
      </c>
      <c r="N83" s="62">
        <v>29.62</v>
      </c>
      <c r="O83" s="62">
        <v>35.347122336390406</v>
      </c>
      <c r="P83" s="62">
        <v>2.71900941049157</v>
      </c>
      <c r="Q83" s="62">
        <v>5.43801882098314</v>
      </c>
      <c r="R83" s="62">
        <v>570.9919762032297</v>
      </c>
    </row>
    <row r="84" ht="14.25" customHeight="1">
      <c r="A84" s="61" t="s">
        <v>314</v>
      </c>
      <c r="B84" s="18">
        <v>2021.0</v>
      </c>
      <c r="C84" s="62">
        <v>20.730000000000004</v>
      </c>
      <c r="D84" s="62">
        <v>30.689880150533387</v>
      </c>
      <c r="E84" s="62">
        <v>42.7814897</v>
      </c>
      <c r="F84" s="62">
        <v>72.1282517</v>
      </c>
      <c r="G84" s="62">
        <v>9085.221</v>
      </c>
      <c r="H84" s="62">
        <v>916.656</v>
      </c>
      <c r="I84" s="62">
        <v>1.4583</v>
      </c>
      <c r="J84" s="62">
        <v>1.9896884396614547</v>
      </c>
      <c r="K84" s="62">
        <v>0.7461331648730455</v>
      </c>
      <c r="L84" s="62">
        <v>579.4967580513986</v>
      </c>
      <c r="M84" s="62">
        <v>0.58</v>
      </c>
      <c r="N84" s="62">
        <v>18.39</v>
      </c>
      <c r="O84" s="62">
        <v>4.974221099153636</v>
      </c>
      <c r="P84" s="62">
        <v>2.487110549576818</v>
      </c>
      <c r="Q84" s="62">
        <v>2.487110549576818</v>
      </c>
      <c r="R84" s="62">
        <v>395.4505773827141</v>
      </c>
    </row>
    <row r="85" ht="14.25" customHeight="1">
      <c r="A85" s="59" t="s">
        <v>309</v>
      </c>
      <c r="B85" s="18">
        <v>2021.0</v>
      </c>
      <c r="C85" s="60">
        <v>26.07632898365785</v>
      </c>
      <c r="D85" s="60">
        <v>28.435647464657727</v>
      </c>
      <c r="E85" s="60">
        <v>51.4211928</v>
      </c>
      <c r="F85" s="60">
        <v>84.527515</v>
      </c>
      <c r="G85" s="60">
        <v>13594.539</v>
      </c>
      <c r="H85" s="60">
        <v>1746.299</v>
      </c>
      <c r="I85" s="60">
        <v>1.8</v>
      </c>
      <c r="J85" s="60">
        <v>7.141660326154133</v>
      </c>
      <c r="K85" s="60">
        <v>0.27467924331362054</v>
      </c>
      <c r="L85" s="60">
        <v>435.36660065208855</v>
      </c>
      <c r="M85" s="60">
        <v>0.93</v>
      </c>
      <c r="N85" s="60">
        <v>30.23</v>
      </c>
      <c r="O85" s="60">
        <v>32.96150919763446</v>
      </c>
      <c r="P85" s="60">
        <v>10.987169732544821</v>
      </c>
      <c r="Q85" s="60">
        <v>21.974339465089642</v>
      </c>
      <c r="R85" s="60">
        <v>1424.2118765811224</v>
      </c>
    </row>
    <row r="86" ht="14.25" customHeight="1">
      <c r="A86" s="61" t="s">
        <v>316</v>
      </c>
      <c r="B86" s="18">
        <v>2021.0</v>
      </c>
      <c r="C86" s="60">
        <v>19.45</v>
      </c>
      <c r="D86" s="60">
        <v>28.12103649843469</v>
      </c>
      <c r="E86" s="60">
        <v>44.2661172</v>
      </c>
      <c r="F86" s="60">
        <v>73.6735016</v>
      </c>
      <c r="G86" s="60">
        <v>17803.79</v>
      </c>
      <c r="H86" s="60">
        <v>1103.679</v>
      </c>
      <c r="I86" s="60">
        <v>1.7143</v>
      </c>
      <c r="J86" s="60">
        <v>7.312235502731425</v>
      </c>
      <c r="K86" s="60">
        <v>0.6093529585609521</v>
      </c>
      <c r="L86" s="60">
        <v>685.5220783810711</v>
      </c>
      <c r="M86" s="60">
        <v>1.07</v>
      </c>
      <c r="N86" s="60">
        <v>21.7</v>
      </c>
      <c r="O86" s="60">
        <v>30.4676479280476</v>
      </c>
      <c r="P86" s="60">
        <v>3.0467647928047605</v>
      </c>
      <c r="Q86" s="60">
        <v>9.140294378414282</v>
      </c>
      <c r="R86" s="60">
        <v>414.3600118214474</v>
      </c>
    </row>
    <row r="87" ht="14.25" customHeight="1">
      <c r="A87" s="59" t="s">
        <v>333</v>
      </c>
      <c r="B87" s="18">
        <v>2021.0</v>
      </c>
      <c r="C87" s="60">
        <v>6.569999999999999</v>
      </c>
      <c r="D87" s="60">
        <v>1.2013432976643643</v>
      </c>
      <c r="E87" s="60">
        <v>23.4276621</v>
      </c>
      <c r="F87" s="60">
        <v>52.9701453</v>
      </c>
      <c r="G87" s="60">
        <v>2001.862</v>
      </c>
      <c r="H87" s="60">
        <v>325.885</v>
      </c>
      <c r="I87" s="60">
        <v>1.0</v>
      </c>
      <c r="J87" s="60">
        <v>0.0</v>
      </c>
      <c r="K87" s="60">
        <v>0.0</v>
      </c>
      <c r="L87" s="60">
        <v>46.86255213458925</v>
      </c>
      <c r="M87" s="60">
        <v>0.0</v>
      </c>
      <c r="N87" s="60">
        <v>0.0</v>
      </c>
      <c r="O87" s="60">
        <v>0.0</v>
      </c>
      <c r="P87" s="60">
        <v>0.0</v>
      </c>
      <c r="Q87" s="60">
        <v>0.0</v>
      </c>
      <c r="R87" s="60">
        <v>0.0</v>
      </c>
    </row>
    <row r="88" ht="14.25" customHeight="1">
      <c r="A88" s="61" t="s">
        <v>325</v>
      </c>
      <c r="B88" s="18">
        <v>2021.0</v>
      </c>
      <c r="C88" s="60">
        <v>13.65</v>
      </c>
      <c r="D88" s="60">
        <v>7.526561011445399</v>
      </c>
      <c r="E88" s="60">
        <v>25.807755</v>
      </c>
      <c r="F88" s="60">
        <v>61.4496607</v>
      </c>
      <c r="G88" s="60">
        <v>5307.413</v>
      </c>
      <c r="H88" s="60">
        <v>246.856</v>
      </c>
      <c r="I88" s="60">
        <v>1.2727</v>
      </c>
      <c r="J88" s="60">
        <v>1.4819315495817247</v>
      </c>
      <c r="K88" s="60">
        <v>0.0</v>
      </c>
      <c r="L88" s="60">
        <v>266.74767892471044</v>
      </c>
      <c r="M88" s="60">
        <v>0.0</v>
      </c>
      <c r="N88" s="60">
        <v>40.0</v>
      </c>
      <c r="O88" s="60">
        <v>0.0</v>
      </c>
      <c r="P88" s="60">
        <v>0.0</v>
      </c>
      <c r="Q88" s="60">
        <v>0.0</v>
      </c>
      <c r="R88" s="60">
        <v>266.74767892471044</v>
      </c>
    </row>
    <row r="89" ht="14.25" customHeight="1">
      <c r="A89" s="59" t="s">
        <v>326</v>
      </c>
      <c r="B89" s="18">
        <v>2021.0</v>
      </c>
      <c r="C89" s="60">
        <v>12.0</v>
      </c>
      <c r="D89" s="60">
        <v>23.991389589392195</v>
      </c>
      <c r="E89" s="60">
        <v>21.2747217</v>
      </c>
      <c r="F89" s="60">
        <v>63.8804531</v>
      </c>
      <c r="G89" s="60">
        <v>4023.277</v>
      </c>
      <c r="H89" s="60">
        <v>351.159</v>
      </c>
      <c r="I89" s="60">
        <v>1.3</v>
      </c>
      <c r="J89" s="60">
        <v>5.822783581691227</v>
      </c>
      <c r="K89" s="60">
        <v>0.0</v>
      </c>
      <c r="L89" s="60">
        <v>548.3121206092572</v>
      </c>
      <c r="M89" s="60">
        <v>0.56</v>
      </c>
      <c r="N89" s="60">
        <v>19.05</v>
      </c>
      <c r="O89" s="60">
        <v>4.852319651409356</v>
      </c>
      <c r="P89" s="60">
        <v>9.704639302818713</v>
      </c>
      <c r="Q89" s="60">
        <v>9.704639302818713</v>
      </c>
      <c r="R89" s="60">
        <v>164.97886814791812</v>
      </c>
    </row>
    <row r="90" ht="14.25" customHeight="1">
      <c r="A90" s="61" t="s">
        <v>330</v>
      </c>
      <c r="B90" s="18">
        <v>2021.0</v>
      </c>
      <c r="C90" s="60">
        <v>5.37</v>
      </c>
      <c r="D90" s="60">
        <v>1.4686921569140512</v>
      </c>
      <c r="E90" s="60">
        <v>36.9095316</v>
      </c>
      <c r="F90" s="60">
        <v>77.3384541</v>
      </c>
      <c r="G90" s="60">
        <v>8080.059</v>
      </c>
      <c r="H90" s="60">
        <v>444.774</v>
      </c>
      <c r="I90" s="60">
        <v>0.6667</v>
      </c>
      <c r="J90" s="60">
        <v>0.0</v>
      </c>
      <c r="K90" s="60">
        <v>0.0</v>
      </c>
      <c r="L90" s="60">
        <v>107.2481901867906</v>
      </c>
      <c r="M90" s="60">
        <v>0.0</v>
      </c>
      <c r="N90" s="60">
        <v>0.0</v>
      </c>
      <c r="O90" s="60">
        <v>0.0</v>
      </c>
      <c r="P90" s="60">
        <v>0.0</v>
      </c>
      <c r="Q90" s="60">
        <v>0.0</v>
      </c>
      <c r="R90" s="60">
        <v>2055.5903119134864</v>
      </c>
    </row>
    <row r="91" ht="14.25" customHeight="1">
      <c r="A91" s="59" t="s">
        <v>332</v>
      </c>
      <c r="B91" s="18">
        <v>2021.0</v>
      </c>
      <c r="C91" s="60">
        <v>3.95</v>
      </c>
      <c r="D91" s="60">
        <v>9.974515735478867</v>
      </c>
      <c r="E91" s="60">
        <v>37.6311112</v>
      </c>
      <c r="F91" s="60">
        <v>69.987768</v>
      </c>
      <c r="G91" s="60">
        <v>6776.948</v>
      </c>
      <c r="H91" s="60">
        <v>88.936</v>
      </c>
      <c r="I91" s="60">
        <v>1.6667</v>
      </c>
      <c r="J91" s="60">
        <v>1.7763882474153552</v>
      </c>
      <c r="K91" s="60">
        <v>0.0</v>
      </c>
      <c r="L91" s="60">
        <v>0.0</v>
      </c>
      <c r="M91" s="60">
        <v>0.0</v>
      </c>
      <c r="N91" s="60">
        <v>0.0</v>
      </c>
      <c r="O91" s="60">
        <v>0.0</v>
      </c>
      <c r="P91" s="60">
        <v>0.0</v>
      </c>
      <c r="Q91" s="60">
        <v>0.0</v>
      </c>
      <c r="R91" s="60">
        <v>0.0</v>
      </c>
    </row>
    <row r="92" ht="14.25" customHeight="1">
      <c r="A92" s="61" t="s">
        <v>319</v>
      </c>
      <c r="B92" s="18">
        <v>2021.0</v>
      </c>
      <c r="C92" s="60">
        <v>16.76</v>
      </c>
      <c r="D92" s="60">
        <v>31.986942256616576</v>
      </c>
      <c r="E92" s="60">
        <v>32.4156835</v>
      </c>
      <c r="F92" s="60">
        <v>65.5020616</v>
      </c>
      <c r="G92" s="60">
        <v>6877.591</v>
      </c>
      <c r="H92" s="60">
        <v>539.46</v>
      </c>
      <c r="I92" s="60">
        <v>1.6471</v>
      </c>
      <c r="J92" s="60">
        <v>5.470593672598174</v>
      </c>
      <c r="K92" s="60">
        <v>0.7545646444962998</v>
      </c>
      <c r="L92" s="60">
        <v>431.98825897413167</v>
      </c>
      <c r="M92" s="60">
        <v>0.85</v>
      </c>
      <c r="N92" s="60">
        <v>32.48</v>
      </c>
      <c r="O92" s="60">
        <v>3.7728232224814993</v>
      </c>
      <c r="P92" s="60">
        <v>7.5456464449629985</v>
      </c>
      <c r="Q92" s="60">
        <v>3.7728232224814993</v>
      </c>
      <c r="R92" s="60">
        <v>488.5806073113542</v>
      </c>
    </row>
    <row r="93" ht="14.25" customHeight="1">
      <c r="A93" s="59" t="s">
        <v>323</v>
      </c>
      <c r="B93" s="18">
        <v>2021.0</v>
      </c>
      <c r="C93" s="60">
        <v>14.37</v>
      </c>
      <c r="D93" s="60">
        <v>25.260317589892143</v>
      </c>
      <c r="E93" s="60">
        <v>28.7125195</v>
      </c>
      <c r="F93" s="60">
        <v>58.8642499</v>
      </c>
      <c r="G93" s="60">
        <v>4228.41</v>
      </c>
      <c r="H93" s="60">
        <v>685.688</v>
      </c>
      <c r="I93" s="60">
        <v>1.5385</v>
      </c>
      <c r="J93" s="60">
        <v>4.067148623778585</v>
      </c>
      <c r="K93" s="60">
        <v>0.0</v>
      </c>
      <c r="L93" s="60">
        <v>542.2864831704779</v>
      </c>
      <c r="M93" s="60">
        <v>0.59</v>
      </c>
      <c r="N93" s="60">
        <v>30.84</v>
      </c>
      <c r="O93" s="60">
        <v>3.389290519815487</v>
      </c>
      <c r="P93" s="60">
        <v>0.0</v>
      </c>
      <c r="Q93" s="60">
        <v>0.0</v>
      </c>
      <c r="R93" s="60">
        <v>183.02168807003628</v>
      </c>
    </row>
    <row r="94" ht="14.25" customHeight="1">
      <c r="A94" s="61" t="s">
        <v>308</v>
      </c>
      <c r="B94" s="18">
        <v>2021.0</v>
      </c>
      <c r="C94" s="60">
        <v>25.8</v>
      </c>
      <c r="D94" s="60">
        <v>35.430926117085676</v>
      </c>
      <c r="E94" s="60">
        <v>47.8052586</v>
      </c>
      <c r="F94" s="60">
        <v>76.2476438</v>
      </c>
      <c r="G94" s="60">
        <v>19986.732</v>
      </c>
      <c r="H94" s="60">
        <v>2110.85</v>
      </c>
      <c r="I94" s="60">
        <v>2.6667</v>
      </c>
      <c r="J94" s="60">
        <v>16.182584191289305</v>
      </c>
      <c r="K94" s="60">
        <v>2.308265623822151</v>
      </c>
      <c r="L94" s="60">
        <v>1044.2392810987758</v>
      </c>
      <c r="M94" s="60">
        <v>0.86</v>
      </c>
      <c r="N94" s="60">
        <v>26.14</v>
      </c>
      <c r="O94" s="60">
        <v>33.48120867163305</v>
      </c>
      <c r="P94" s="60">
        <v>11.160402890544349</v>
      </c>
      <c r="Q94" s="60">
        <v>16.740604335816524</v>
      </c>
      <c r="R94" s="60">
        <v>1004.4362601489913</v>
      </c>
    </row>
    <row r="95" ht="14.25" customHeight="1">
      <c r="A95" s="59" t="s">
        <v>321</v>
      </c>
      <c r="B95" s="18">
        <v>2021.0</v>
      </c>
      <c r="C95" s="60">
        <v>15.35</v>
      </c>
      <c r="D95" s="60">
        <v>32.28067730068861</v>
      </c>
      <c r="E95" s="60">
        <v>32.0259881</v>
      </c>
      <c r="F95" s="60">
        <v>72.0159745</v>
      </c>
      <c r="G95" s="60">
        <v>6705.992</v>
      </c>
      <c r="H95" s="60">
        <v>387.043</v>
      </c>
      <c r="I95" s="60">
        <v>1.4118</v>
      </c>
      <c r="J95" s="60">
        <v>1.520224689209065</v>
      </c>
      <c r="K95" s="60">
        <v>0.0</v>
      </c>
      <c r="L95" s="60">
        <v>150.1221880593952</v>
      </c>
      <c r="M95" s="60">
        <v>0.57</v>
      </c>
      <c r="N95" s="60">
        <v>10.0</v>
      </c>
      <c r="O95" s="60">
        <v>0.0</v>
      </c>
      <c r="P95" s="60">
        <v>0.0</v>
      </c>
      <c r="Q95" s="60">
        <v>1.9002808615113314</v>
      </c>
      <c r="R95" s="60">
        <v>150.1221880593952</v>
      </c>
    </row>
    <row r="96" ht="14.25" customHeight="1">
      <c r="A96" s="61" t="s">
        <v>317</v>
      </c>
      <c r="B96" s="18">
        <v>2021.0</v>
      </c>
      <c r="C96" s="60">
        <v>19.8</v>
      </c>
      <c r="D96" s="60">
        <v>39.69813079205968</v>
      </c>
      <c r="E96" s="60">
        <v>42.7387475</v>
      </c>
      <c r="F96" s="60">
        <v>80.9379442</v>
      </c>
      <c r="G96" s="60">
        <v>3359.761</v>
      </c>
      <c r="H96" s="60">
        <v>376.949</v>
      </c>
      <c r="I96" s="60">
        <v>1.2273</v>
      </c>
      <c r="J96" s="60">
        <v>0.7227927265367928</v>
      </c>
      <c r="K96" s="60">
        <v>0.0</v>
      </c>
      <c r="L96" s="60">
        <v>222.2587634100638</v>
      </c>
      <c r="M96" s="60">
        <v>0.54</v>
      </c>
      <c r="N96" s="60">
        <v>16.21</v>
      </c>
      <c r="O96" s="60">
        <v>7.227927265367928</v>
      </c>
      <c r="P96" s="60">
        <v>5.420945449025947</v>
      </c>
      <c r="Q96" s="60">
        <v>5.420945449025947</v>
      </c>
      <c r="R96" s="60">
        <v>390.30807232986814</v>
      </c>
    </row>
    <row r="97" ht="14.25" customHeight="1">
      <c r="A97" s="59" t="s">
        <v>322</v>
      </c>
      <c r="B97" s="18">
        <v>2021.0</v>
      </c>
      <c r="C97" s="60">
        <v>19.88</v>
      </c>
      <c r="D97" s="60">
        <v>24.25912352463345</v>
      </c>
      <c r="E97" s="60">
        <v>43.496832</v>
      </c>
      <c r="F97" s="60">
        <v>75.662099</v>
      </c>
      <c r="G97" s="60">
        <v>6276.228</v>
      </c>
      <c r="H97" s="60">
        <v>506.048</v>
      </c>
      <c r="I97" s="60">
        <v>1.0667</v>
      </c>
      <c r="J97" s="60">
        <v>0.0</v>
      </c>
      <c r="K97" s="60">
        <v>0.0</v>
      </c>
      <c r="L97" s="60">
        <v>72.16168658514246</v>
      </c>
      <c r="M97" s="60">
        <v>0.0</v>
      </c>
      <c r="N97" s="60">
        <v>0.0</v>
      </c>
      <c r="O97" s="60">
        <v>0.0</v>
      </c>
      <c r="P97" s="60">
        <v>0.0</v>
      </c>
      <c r="Q97" s="60">
        <v>11.101797936175762</v>
      </c>
      <c r="R97" s="60">
        <v>383.01202879806385</v>
      </c>
    </row>
    <row r="98" ht="14.25" customHeight="1">
      <c r="A98" s="63" t="s">
        <v>329</v>
      </c>
      <c r="B98" s="64">
        <v>2022.0</v>
      </c>
      <c r="C98" s="60">
        <v>11.3</v>
      </c>
      <c r="D98" s="60">
        <v>11.964087272170286</v>
      </c>
      <c r="E98" s="60">
        <v>23.6491237</v>
      </c>
      <c r="F98" s="60">
        <v>74.8744812</v>
      </c>
      <c r="G98" s="60">
        <v>600.99</v>
      </c>
      <c r="H98" s="60">
        <v>259.251</v>
      </c>
      <c r="I98" s="60">
        <v>0.2857</v>
      </c>
      <c r="J98" s="60">
        <v>0.0</v>
      </c>
      <c r="K98" s="60">
        <v>0.0</v>
      </c>
      <c r="L98" s="60">
        <v>83.65488178519517</v>
      </c>
      <c r="M98" s="60">
        <v>0.0</v>
      </c>
      <c r="N98" s="60">
        <v>0.0</v>
      </c>
      <c r="O98" s="60">
        <v>0.0</v>
      </c>
      <c r="P98" s="60">
        <v>0.0</v>
      </c>
      <c r="Q98" s="60">
        <v>0.0</v>
      </c>
      <c r="R98" s="60">
        <v>135.93918290094214</v>
      </c>
    </row>
    <row r="99" ht="14.25" customHeight="1">
      <c r="A99" s="59" t="s">
        <v>306</v>
      </c>
      <c r="B99" s="18">
        <v>2022.0</v>
      </c>
      <c r="C99" s="60">
        <v>29.26</v>
      </c>
      <c r="D99" s="60">
        <v>67.96378600549494</v>
      </c>
      <c r="E99" s="60">
        <v>45.8305684</v>
      </c>
      <c r="F99" s="60">
        <v>76.7530152</v>
      </c>
      <c r="G99" s="60">
        <v>12562.318</v>
      </c>
      <c r="H99" s="60">
        <v>1383.337</v>
      </c>
      <c r="I99" s="60">
        <v>0.95</v>
      </c>
      <c r="J99" s="60">
        <v>3.281916639317361</v>
      </c>
      <c r="K99" s="60">
        <v>0.0</v>
      </c>
      <c r="L99" s="60">
        <v>617.000328191664</v>
      </c>
      <c r="M99" s="60">
        <v>0.99</v>
      </c>
      <c r="N99" s="60">
        <v>17.11</v>
      </c>
      <c r="O99" s="60">
        <v>62.35641614702986</v>
      </c>
      <c r="P99" s="60">
        <v>17.156735353581496</v>
      </c>
      <c r="Q99" s="60">
        <v>16.409583196586805</v>
      </c>
      <c r="R99" s="60">
        <v>1132.2612405644895</v>
      </c>
    </row>
    <row r="100" ht="14.25" customHeight="1">
      <c r="A100" s="61" t="s">
        <v>320</v>
      </c>
      <c r="B100" s="18">
        <v>2022.0</v>
      </c>
      <c r="C100" s="60">
        <v>18.838553485243285</v>
      </c>
      <c r="D100" s="60">
        <v>75.31494842151297</v>
      </c>
      <c r="E100" s="60">
        <v>40.7819546</v>
      </c>
      <c r="F100" s="60">
        <v>76.9816127</v>
      </c>
      <c r="G100" s="60">
        <v>6839.808</v>
      </c>
      <c r="H100" s="60">
        <v>1297.654</v>
      </c>
      <c r="I100" s="60">
        <v>1.8182</v>
      </c>
      <c r="J100" s="60">
        <v>7.058592455285351</v>
      </c>
      <c r="K100" s="60">
        <v>1.1252828551904184</v>
      </c>
      <c r="L100" s="60">
        <v>690.5144793213931</v>
      </c>
      <c r="M100" s="60">
        <v>1.52</v>
      </c>
      <c r="N100" s="60">
        <v>20.47</v>
      </c>
      <c r="O100" s="60">
        <v>16.879242827856274</v>
      </c>
      <c r="P100" s="60">
        <v>6.649398689761563</v>
      </c>
      <c r="Q100" s="60">
        <v>8.695367517380506</v>
      </c>
      <c r="R100" s="60">
        <v>1284.8684237446957</v>
      </c>
    </row>
    <row r="101" ht="14.25" customHeight="1">
      <c r="A101" s="59" t="s">
        <v>305</v>
      </c>
      <c r="B101" s="18">
        <v>2022.0</v>
      </c>
      <c r="C101" s="60">
        <v>27.71</v>
      </c>
      <c r="D101" s="60">
        <v>94.97579410731662</v>
      </c>
      <c r="E101" s="60">
        <v>66.2847542</v>
      </c>
      <c r="F101" s="60">
        <v>85.9453123</v>
      </c>
      <c r="G101" s="60">
        <v>14694.343</v>
      </c>
      <c r="H101" s="60">
        <v>1987.167</v>
      </c>
      <c r="I101" s="60">
        <v>2.4706</v>
      </c>
      <c r="J101" s="60">
        <v>8.717510974221476</v>
      </c>
      <c r="K101" s="60">
        <v>1.6489133660917454</v>
      </c>
      <c r="L101" s="60">
        <v>841.3292849314627</v>
      </c>
      <c r="M101" s="60">
        <v>1.58</v>
      </c>
      <c r="N101" s="60">
        <v>22.29</v>
      </c>
      <c r="O101" s="60">
        <v>36.1738358607724</v>
      </c>
      <c r="P101" s="60">
        <v>15.977842694687459</v>
      </c>
      <c r="Q101" s="60">
        <v>26.33148476084493</v>
      </c>
      <c r="R101" s="60">
        <v>3401.6187983281807</v>
      </c>
    </row>
    <row r="102" ht="14.25" customHeight="1">
      <c r="A102" s="61" t="s">
        <v>310</v>
      </c>
      <c r="B102" s="18">
        <v>2022.0</v>
      </c>
      <c r="C102" s="60">
        <v>24.826582851626515</v>
      </c>
      <c r="D102" s="60">
        <v>83.6180837014725</v>
      </c>
      <c r="E102" s="60">
        <v>43.7729725</v>
      </c>
      <c r="F102" s="60">
        <v>80.5565145</v>
      </c>
      <c r="G102" s="60">
        <v>9739.544</v>
      </c>
      <c r="H102" s="60">
        <v>1329.095</v>
      </c>
      <c r="I102" s="60">
        <v>1.8684</v>
      </c>
      <c r="J102" s="60">
        <v>8.134981816378739</v>
      </c>
      <c r="K102" s="60">
        <v>0.542332121091916</v>
      </c>
      <c r="L102" s="60">
        <v>831.3176656166085</v>
      </c>
      <c r="M102" s="60">
        <v>1.3</v>
      </c>
      <c r="N102" s="60">
        <v>21.51</v>
      </c>
      <c r="O102" s="60">
        <v>60.43129349309921</v>
      </c>
      <c r="P102" s="60">
        <v>10.84664242183832</v>
      </c>
      <c r="Q102" s="60">
        <v>15.495203459769028</v>
      </c>
      <c r="R102" s="60">
        <v>1370.5507460165707</v>
      </c>
    </row>
    <row r="103" ht="14.25" customHeight="1">
      <c r="A103" s="59" t="s">
        <v>311</v>
      </c>
      <c r="B103" s="18">
        <v>2022.0</v>
      </c>
      <c r="C103" s="60">
        <v>24.09215107068991</v>
      </c>
      <c r="D103" s="60">
        <v>85.32384211763355</v>
      </c>
      <c r="E103" s="60">
        <v>45.5946851</v>
      </c>
      <c r="F103" s="60">
        <v>85.3993178</v>
      </c>
      <c r="G103" s="60">
        <v>6147.136</v>
      </c>
      <c r="H103" s="60">
        <v>858.168</v>
      </c>
      <c r="I103" s="60">
        <v>1.8909</v>
      </c>
      <c r="J103" s="60">
        <v>6.891549699419177</v>
      </c>
      <c r="K103" s="60">
        <v>0.6303246676298028</v>
      </c>
      <c r="L103" s="60">
        <v>613.5160098263414</v>
      </c>
      <c r="M103" s="60">
        <v>1.22</v>
      </c>
      <c r="N103" s="60">
        <v>24.96</v>
      </c>
      <c r="O103" s="60">
        <v>18.489523583807546</v>
      </c>
      <c r="P103" s="60">
        <v>4.622380895951887</v>
      </c>
      <c r="Q103" s="60">
        <v>20.17038936415369</v>
      </c>
      <c r="R103" s="60">
        <v>2084.693784074301</v>
      </c>
    </row>
    <row r="104" ht="14.25" customHeight="1">
      <c r="A104" s="61" t="s">
        <v>318</v>
      </c>
      <c r="B104" s="18">
        <v>2022.0</v>
      </c>
      <c r="C104" s="60">
        <v>17.43</v>
      </c>
      <c r="D104" s="60">
        <v>73.61742865451006</v>
      </c>
      <c r="E104" s="60">
        <v>29.6692143</v>
      </c>
      <c r="F104" s="60">
        <v>72.7766572</v>
      </c>
      <c r="G104" s="60">
        <v>5154.147</v>
      </c>
      <c r="H104" s="60">
        <v>888.455</v>
      </c>
      <c r="I104" s="60">
        <v>1.3171</v>
      </c>
      <c r="J104" s="60">
        <v>4.747450183261265</v>
      </c>
      <c r="K104" s="60">
        <v>0.29066021530171016</v>
      </c>
      <c r="L104" s="60">
        <v>541.5968678455199</v>
      </c>
      <c r="M104" s="60">
        <v>0.0</v>
      </c>
      <c r="N104" s="60">
        <v>29.38</v>
      </c>
      <c r="O104" s="60">
        <v>6.782071690373237</v>
      </c>
      <c r="P104" s="60">
        <v>1.9377347686780677</v>
      </c>
      <c r="Q104" s="60">
        <v>19.377347686780677</v>
      </c>
      <c r="R104" s="60">
        <v>725.6816708699364</v>
      </c>
    </row>
    <row r="105" ht="14.25" customHeight="1">
      <c r="A105" s="59" t="s">
        <v>324</v>
      </c>
      <c r="B105" s="18">
        <v>2022.0</v>
      </c>
      <c r="C105" s="60">
        <v>16.197645924719502</v>
      </c>
      <c r="D105" s="60">
        <v>72.28320671117334</v>
      </c>
      <c r="E105" s="60">
        <v>34.3742973</v>
      </c>
      <c r="F105" s="60">
        <v>76.1136474</v>
      </c>
      <c r="G105" s="60">
        <v>6994.743</v>
      </c>
      <c r="H105" s="60">
        <v>817.936</v>
      </c>
      <c r="I105" s="60">
        <v>1.32</v>
      </c>
      <c r="J105" s="60">
        <v>2.428000085465603</v>
      </c>
      <c r="K105" s="60">
        <v>0.4856000170931206</v>
      </c>
      <c r="L105" s="60">
        <v>299.1296105293623</v>
      </c>
      <c r="M105" s="60">
        <v>1.38</v>
      </c>
      <c r="N105" s="60">
        <v>22.15</v>
      </c>
      <c r="O105" s="60">
        <v>10.683200376048653</v>
      </c>
      <c r="P105" s="60">
        <v>0.9712000341862412</v>
      </c>
      <c r="Q105" s="60">
        <v>7.76960027348993</v>
      </c>
      <c r="R105" s="60">
        <v>624.481621981753</v>
      </c>
    </row>
    <row r="106" ht="14.25" customHeight="1">
      <c r="A106" s="61" t="s">
        <v>327</v>
      </c>
      <c r="B106" s="18">
        <v>2022.0</v>
      </c>
      <c r="C106" s="60">
        <v>15.06</v>
      </c>
      <c r="D106" s="60">
        <v>36.3668331267726</v>
      </c>
      <c r="E106" s="60">
        <v>26.9914233</v>
      </c>
      <c r="F106" s="60">
        <v>72.3742325</v>
      </c>
      <c r="G106" s="60">
        <v>5975.56</v>
      </c>
      <c r="H106" s="60">
        <v>309.887</v>
      </c>
      <c r="I106" s="60">
        <v>2.3333</v>
      </c>
      <c r="J106" s="60">
        <v>2.854174515646585</v>
      </c>
      <c r="K106" s="60">
        <v>0.0</v>
      </c>
      <c r="L106" s="60">
        <v>371.04268703405603</v>
      </c>
      <c r="M106" s="60">
        <v>0.98</v>
      </c>
      <c r="N106" s="60">
        <v>15.38</v>
      </c>
      <c r="O106" s="60">
        <v>0.0</v>
      </c>
      <c r="P106" s="60">
        <v>0.0</v>
      </c>
      <c r="Q106" s="60">
        <v>0.0</v>
      </c>
      <c r="R106" s="60">
        <v>131.2920277197429</v>
      </c>
    </row>
    <row r="107" ht="14.25" customHeight="1">
      <c r="A107" s="59" t="s">
        <v>313</v>
      </c>
      <c r="B107" s="18">
        <v>2022.0</v>
      </c>
      <c r="C107" s="60">
        <v>26.51</v>
      </c>
      <c r="D107" s="60">
        <v>73.35453307194963</v>
      </c>
      <c r="E107" s="60">
        <v>44.8953939</v>
      </c>
      <c r="F107" s="60">
        <v>79.3631523</v>
      </c>
      <c r="G107" s="60">
        <v>8665.588</v>
      </c>
      <c r="H107" s="60">
        <v>1458.627</v>
      </c>
      <c r="I107" s="60">
        <v>1.3636</v>
      </c>
      <c r="J107" s="60">
        <v>3.7184673964778674</v>
      </c>
      <c r="K107" s="60">
        <v>0.0</v>
      </c>
      <c r="L107" s="60">
        <v>518.7262018086625</v>
      </c>
      <c r="M107" s="60">
        <v>1.57</v>
      </c>
      <c r="N107" s="60">
        <v>29.27</v>
      </c>
      <c r="O107" s="60">
        <v>14.87386958591147</v>
      </c>
      <c r="P107" s="60">
        <v>5.577701094716802</v>
      </c>
      <c r="Q107" s="60">
        <v>40.07627500701917</v>
      </c>
      <c r="R107" s="60">
        <v>1195.4872679676346</v>
      </c>
    </row>
    <row r="108" ht="14.25" customHeight="1">
      <c r="A108" s="61" t="s">
        <v>334</v>
      </c>
      <c r="B108" s="18">
        <v>2022.0</v>
      </c>
      <c r="C108" s="60">
        <v>2.79</v>
      </c>
      <c r="D108" s="60">
        <v>1.5194786235662152</v>
      </c>
      <c r="E108" s="60">
        <v>21.7334898</v>
      </c>
      <c r="F108" s="60">
        <v>58.0642509</v>
      </c>
      <c r="G108" s="60">
        <v>2344.971</v>
      </c>
      <c r="H108" s="60">
        <v>468.994</v>
      </c>
      <c r="I108" s="60">
        <v>1.0</v>
      </c>
      <c r="J108" s="60">
        <v>0.0</v>
      </c>
      <c r="K108" s="60">
        <v>0.0</v>
      </c>
      <c r="L108" s="60">
        <v>0.0</v>
      </c>
      <c r="M108" s="60">
        <v>0.0</v>
      </c>
      <c r="N108" s="60">
        <v>0.0</v>
      </c>
      <c r="O108" s="60">
        <v>0.0</v>
      </c>
      <c r="P108" s="60">
        <v>0.0</v>
      </c>
      <c r="Q108" s="60">
        <v>0.0</v>
      </c>
      <c r="R108" s="60">
        <v>171.2279900687766</v>
      </c>
    </row>
    <row r="109" ht="14.25" customHeight="1">
      <c r="A109" s="59" t="s">
        <v>335</v>
      </c>
      <c r="B109" s="18">
        <v>2022.0</v>
      </c>
      <c r="C109" s="60">
        <v>2.2800000000000002</v>
      </c>
      <c r="D109" s="60">
        <v>1.9326774109902296</v>
      </c>
      <c r="E109" s="60">
        <v>17.073063</v>
      </c>
      <c r="F109" s="60">
        <v>46.1468578</v>
      </c>
      <c r="G109" s="60">
        <v>1629.048</v>
      </c>
      <c r="H109" s="60">
        <v>39.254</v>
      </c>
      <c r="I109" s="60">
        <v>0.6364</v>
      </c>
      <c r="J109" s="60">
        <v>7.659020411289395</v>
      </c>
      <c r="K109" s="60">
        <v>0.0</v>
      </c>
      <c r="L109" s="60">
        <v>421.2461226209168</v>
      </c>
      <c r="M109" s="60">
        <v>1.1</v>
      </c>
      <c r="N109" s="60">
        <v>50.4971</v>
      </c>
      <c r="O109" s="60">
        <v>0.0</v>
      </c>
      <c r="P109" s="60">
        <v>0.0</v>
      </c>
      <c r="Q109" s="60">
        <v>0.0</v>
      </c>
      <c r="R109" s="60">
        <v>344.6559185080228</v>
      </c>
    </row>
    <row r="110" ht="14.25" customHeight="1">
      <c r="A110" s="61" t="s">
        <v>315</v>
      </c>
      <c r="B110" s="18">
        <v>2022.0</v>
      </c>
      <c r="C110" s="60">
        <v>21.326415939964562</v>
      </c>
      <c r="D110" s="60">
        <v>75.33820182775736</v>
      </c>
      <c r="E110" s="60">
        <v>49.281746</v>
      </c>
      <c r="F110" s="60">
        <v>79.3161058</v>
      </c>
      <c r="G110" s="60">
        <v>10476.603</v>
      </c>
      <c r="H110" s="60">
        <v>2260.961</v>
      </c>
      <c r="I110" s="60">
        <v>2.5</v>
      </c>
      <c r="J110" s="60">
        <v>17.014201057587268</v>
      </c>
      <c r="K110" s="60">
        <v>1.7400887445259707</v>
      </c>
      <c r="L110" s="60">
        <v>1138.7914116953298</v>
      </c>
      <c r="M110" s="60">
        <v>0.94</v>
      </c>
      <c r="N110" s="60">
        <v>31.59</v>
      </c>
      <c r="O110" s="60">
        <v>50.26923039741693</v>
      </c>
      <c r="P110" s="60">
        <v>15.467455506897517</v>
      </c>
      <c r="Q110" s="60">
        <v>21.267751321984086</v>
      </c>
      <c r="R110" s="60">
        <v>1419.1390427578472</v>
      </c>
    </row>
    <row r="111" ht="14.25" customHeight="1">
      <c r="A111" s="59" t="s">
        <v>307</v>
      </c>
      <c r="B111" s="18">
        <v>2022.0</v>
      </c>
      <c r="C111" s="60">
        <v>27.216086098885945</v>
      </c>
      <c r="D111" s="60">
        <v>84.184675819569</v>
      </c>
      <c r="E111" s="60">
        <v>45.9690961</v>
      </c>
      <c r="F111" s="60">
        <v>79.9236932</v>
      </c>
      <c r="G111" s="60">
        <v>10464.591</v>
      </c>
      <c r="H111" s="60">
        <v>1255.114</v>
      </c>
      <c r="I111" s="60">
        <v>2.2716</v>
      </c>
      <c r="J111" s="60">
        <v>9.551173419354459</v>
      </c>
      <c r="K111" s="60">
        <v>1.0557852365867395</v>
      </c>
      <c r="L111" s="60">
        <v>839.2264973612735</v>
      </c>
      <c r="M111" s="60">
        <v>1.01</v>
      </c>
      <c r="N111" s="60">
        <v>24.12</v>
      </c>
      <c r="O111" s="60">
        <v>34.86546595239931</v>
      </c>
      <c r="P111" s="60">
        <v>9.084663663653341</v>
      </c>
      <c r="Q111" s="60">
        <v>37.075249005720394</v>
      </c>
      <c r="R111" s="60">
        <v>3505.2069854679758</v>
      </c>
    </row>
    <row r="112" ht="14.25" customHeight="1">
      <c r="A112" s="61" t="s">
        <v>336</v>
      </c>
      <c r="B112" s="18">
        <v>2022.0</v>
      </c>
      <c r="C112" s="60">
        <v>0.13</v>
      </c>
      <c r="D112" s="60">
        <v>8.58263955999112</v>
      </c>
      <c r="E112" s="60">
        <v>26.9345814</v>
      </c>
      <c r="F112" s="60">
        <v>51.0363642</v>
      </c>
      <c r="G112" s="60">
        <v>0.0</v>
      </c>
      <c r="H112" s="60">
        <v>0.0</v>
      </c>
      <c r="I112" s="60">
        <v>0.0</v>
      </c>
      <c r="J112" s="60">
        <v>0.0</v>
      </c>
      <c r="K112" s="60">
        <v>0.0</v>
      </c>
      <c r="L112" s="60">
        <v>30.958793845391785</v>
      </c>
      <c r="M112" s="60">
        <v>0.0</v>
      </c>
      <c r="N112" s="60">
        <v>0.0</v>
      </c>
      <c r="O112" s="60">
        <v>0.0</v>
      </c>
      <c r="P112" s="60">
        <v>0.0</v>
      </c>
      <c r="Q112" s="60">
        <v>0.0</v>
      </c>
      <c r="R112" s="60">
        <v>0.0</v>
      </c>
    </row>
    <row r="113" ht="14.25" customHeight="1">
      <c r="A113" s="59" t="s">
        <v>331</v>
      </c>
      <c r="B113" s="18">
        <v>2022.0</v>
      </c>
      <c r="C113" s="60">
        <v>5.01</v>
      </c>
      <c r="D113" s="60">
        <v>9.133574537812502</v>
      </c>
      <c r="E113" s="60">
        <v>28.1169734</v>
      </c>
      <c r="F113" s="60">
        <v>70.0618975</v>
      </c>
      <c r="G113" s="60">
        <v>3966.521</v>
      </c>
      <c r="H113" s="60">
        <v>673.217</v>
      </c>
      <c r="I113" s="60">
        <v>0.2222</v>
      </c>
      <c r="J113" s="60">
        <v>0.0</v>
      </c>
      <c r="K113" s="60">
        <v>0.0</v>
      </c>
      <c r="L113" s="60">
        <v>16.182277170043367</v>
      </c>
      <c r="M113" s="60">
        <v>0.0</v>
      </c>
      <c r="N113" s="60">
        <v>0.0</v>
      </c>
      <c r="O113" s="60">
        <v>0.0</v>
      </c>
      <c r="P113" s="60">
        <v>0.0</v>
      </c>
      <c r="Q113" s="60">
        <v>0.0</v>
      </c>
      <c r="R113" s="60">
        <v>145.64049453039033</v>
      </c>
    </row>
    <row r="114" ht="14.25" customHeight="1">
      <c r="A114" s="61" t="s">
        <v>328</v>
      </c>
      <c r="B114" s="18">
        <v>2022.0</v>
      </c>
      <c r="C114" s="60">
        <v>13.38</v>
      </c>
      <c r="D114" s="60">
        <v>69.72265089370724</v>
      </c>
      <c r="E114" s="60">
        <v>24.1136763</v>
      </c>
      <c r="F114" s="60">
        <v>71.862003</v>
      </c>
      <c r="G114" s="60">
        <v>7339.22</v>
      </c>
      <c r="H114" s="60">
        <v>1060.135</v>
      </c>
      <c r="I114" s="60">
        <v>0.9583</v>
      </c>
      <c r="J114" s="60">
        <v>5.255658592417837</v>
      </c>
      <c r="K114" s="60">
        <v>0.19465402194140133</v>
      </c>
      <c r="L114" s="60">
        <v>582.01552560479</v>
      </c>
      <c r="M114" s="60">
        <v>1.3</v>
      </c>
      <c r="N114" s="60">
        <v>22.8</v>
      </c>
      <c r="O114" s="60">
        <v>3.8930804388280267</v>
      </c>
      <c r="P114" s="60">
        <v>0.0</v>
      </c>
      <c r="Q114" s="60">
        <v>0.0</v>
      </c>
      <c r="R114" s="60">
        <v>256.9433089626498</v>
      </c>
    </row>
    <row r="115" ht="14.25" customHeight="1">
      <c r="A115" s="59" t="s">
        <v>312</v>
      </c>
      <c r="B115" s="18">
        <v>2022.0</v>
      </c>
      <c r="C115" s="62">
        <v>25.28</v>
      </c>
      <c r="D115" s="62">
        <v>60.11043716149404</v>
      </c>
      <c r="E115" s="62">
        <v>42.1653093</v>
      </c>
      <c r="F115" s="62">
        <v>78.1008174</v>
      </c>
      <c r="G115" s="62">
        <v>7503.593</v>
      </c>
      <c r="H115" s="62">
        <v>1091.075</v>
      </c>
      <c r="I115" s="62">
        <v>1.0909</v>
      </c>
      <c r="J115" s="62">
        <v>3.229365698754003</v>
      </c>
      <c r="K115" s="62">
        <v>0.0</v>
      </c>
      <c r="L115" s="62">
        <v>524.7719260475255</v>
      </c>
      <c r="M115" s="62">
        <v>1.94</v>
      </c>
      <c r="N115" s="62">
        <v>24.42</v>
      </c>
      <c r="O115" s="62">
        <v>26.911380822950026</v>
      </c>
      <c r="P115" s="62">
        <v>5.382276164590006</v>
      </c>
      <c r="Q115" s="62">
        <v>5.382276164590006</v>
      </c>
      <c r="R115" s="62">
        <v>686.2402109852256</v>
      </c>
    </row>
    <row r="116" ht="14.25" customHeight="1">
      <c r="A116" s="61" t="s">
        <v>314</v>
      </c>
      <c r="B116" s="18">
        <v>2022.0</v>
      </c>
      <c r="C116" s="62">
        <v>21.22</v>
      </c>
      <c r="D116" s="62">
        <v>70.57651214148746</v>
      </c>
      <c r="E116" s="62">
        <v>40.5922009</v>
      </c>
      <c r="F116" s="62">
        <v>75.6060037</v>
      </c>
      <c r="G116" s="62">
        <v>9418.195</v>
      </c>
      <c r="H116" s="62">
        <v>1194.751</v>
      </c>
      <c r="I116" s="62">
        <v>1.1154</v>
      </c>
      <c r="J116" s="62">
        <v>2.711162595814951</v>
      </c>
      <c r="K116" s="62">
        <v>0.7394079806768048</v>
      </c>
      <c r="L116" s="62">
        <v>670.3965691469697</v>
      </c>
      <c r="M116" s="62">
        <v>0.65</v>
      </c>
      <c r="N116" s="62">
        <v>21.72</v>
      </c>
      <c r="O116" s="62">
        <v>7.3940798067680475</v>
      </c>
      <c r="P116" s="62">
        <v>2.464693268922683</v>
      </c>
      <c r="Q116" s="62">
        <v>2.464693268922683</v>
      </c>
      <c r="R116" s="62">
        <v>561.9500653143716</v>
      </c>
    </row>
    <row r="117" ht="14.25" customHeight="1">
      <c r="A117" s="59" t="s">
        <v>309</v>
      </c>
      <c r="B117" s="18">
        <v>2022.0</v>
      </c>
      <c r="C117" s="60">
        <v>27.201139085758157</v>
      </c>
      <c r="D117" s="60">
        <v>64.85650736521139</v>
      </c>
      <c r="E117" s="60">
        <v>47.3718801</v>
      </c>
      <c r="F117" s="60">
        <v>84.3790814</v>
      </c>
      <c r="G117" s="60">
        <v>13179.72</v>
      </c>
      <c r="H117" s="60">
        <v>2247.741</v>
      </c>
      <c r="I117" s="60">
        <v>1.5161</v>
      </c>
      <c r="J117" s="60">
        <v>6.550325605768653</v>
      </c>
      <c r="K117" s="60">
        <v>0.4093953503605408</v>
      </c>
      <c r="L117" s="60">
        <v>548.5897694831248</v>
      </c>
      <c r="M117" s="60">
        <v>1.48</v>
      </c>
      <c r="N117" s="60">
        <v>48.08</v>
      </c>
      <c r="O117" s="60">
        <v>23.19906985376398</v>
      </c>
      <c r="P117" s="60">
        <v>8.187907007210816</v>
      </c>
      <c r="Q117" s="60">
        <v>34.11627919671174</v>
      </c>
      <c r="R117" s="60">
        <v>1576.1720988880822</v>
      </c>
    </row>
    <row r="118" ht="14.25" customHeight="1">
      <c r="A118" s="61" t="s">
        <v>316</v>
      </c>
      <c r="B118" s="18">
        <v>2022.0</v>
      </c>
      <c r="C118" s="60">
        <v>19.93</v>
      </c>
      <c r="D118" s="60">
        <v>65.30732601819045</v>
      </c>
      <c r="E118" s="60">
        <v>39.6753242</v>
      </c>
      <c r="F118" s="60">
        <v>75.4357394</v>
      </c>
      <c r="G118" s="60">
        <v>15991.295</v>
      </c>
      <c r="H118" s="60">
        <v>1579.619</v>
      </c>
      <c r="I118" s="60">
        <v>1.5714</v>
      </c>
      <c r="J118" s="60">
        <v>8.12462574061982</v>
      </c>
      <c r="K118" s="60">
        <v>0.3009120644674007</v>
      </c>
      <c r="L118" s="60">
        <v>980.9733301637262</v>
      </c>
      <c r="M118" s="60">
        <v>1.57</v>
      </c>
      <c r="N118" s="60">
        <v>22.66</v>
      </c>
      <c r="O118" s="60">
        <v>30.091206446740067</v>
      </c>
      <c r="P118" s="60">
        <v>9.027361934022021</v>
      </c>
      <c r="Q118" s="60">
        <v>12.036482578696027</v>
      </c>
      <c r="R118" s="60">
        <v>496.50490637121106</v>
      </c>
    </row>
    <row r="119" ht="14.25" customHeight="1">
      <c r="A119" s="59" t="s">
        <v>333</v>
      </c>
      <c r="B119" s="18">
        <v>2022.0</v>
      </c>
      <c r="C119" s="60">
        <v>5.8500000000000005</v>
      </c>
      <c r="D119" s="60">
        <v>1.4117225848200672</v>
      </c>
      <c r="E119" s="60">
        <v>20.1729338</v>
      </c>
      <c r="F119" s="60">
        <v>50.134775</v>
      </c>
      <c r="G119" s="60">
        <v>2565.299</v>
      </c>
      <c r="H119" s="60">
        <v>46.642</v>
      </c>
      <c r="I119" s="60">
        <v>1.0</v>
      </c>
      <c r="J119" s="60">
        <v>0.0</v>
      </c>
      <c r="K119" s="60">
        <v>0.0</v>
      </c>
      <c r="L119" s="60">
        <v>0.0</v>
      </c>
      <c r="M119" s="60">
        <v>0.0</v>
      </c>
      <c r="N119" s="60">
        <v>0.0</v>
      </c>
      <c r="O119" s="60">
        <v>0.0</v>
      </c>
      <c r="P119" s="60">
        <v>0.0</v>
      </c>
      <c r="Q119" s="60">
        <v>0.0</v>
      </c>
      <c r="R119" s="60">
        <v>0.0</v>
      </c>
    </row>
    <row r="120" ht="14.25" customHeight="1">
      <c r="A120" s="61" t="s">
        <v>325</v>
      </c>
      <c r="B120" s="18">
        <v>2022.0</v>
      </c>
      <c r="C120" s="60">
        <v>13.18</v>
      </c>
      <c r="D120" s="60">
        <v>9.321897754756105</v>
      </c>
      <c r="E120" s="60">
        <v>29.7400999</v>
      </c>
      <c r="F120" s="60">
        <v>62.1006304</v>
      </c>
      <c r="G120" s="60">
        <v>6083.937</v>
      </c>
      <c r="H120" s="60">
        <v>498.188</v>
      </c>
      <c r="I120" s="60">
        <v>1.0909</v>
      </c>
      <c r="J120" s="60">
        <v>1.45712058401393</v>
      </c>
      <c r="K120" s="60">
        <v>0.0</v>
      </c>
      <c r="L120" s="60">
        <v>356.9945430834129</v>
      </c>
      <c r="M120" s="60">
        <v>0.0</v>
      </c>
      <c r="N120" s="60">
        <v>30.0</v>
      </c>
      <c r="O120" s="60">
        <v>0.0</v>
      </c>
      <c r="P120" s="60">
        <v>0.0</v>
      </c>
      <c r="Q120" s="60">
        <v>0.0</v>
      </c>
      <c r="R120" s="60">
        <v>211.28248468201986</v>
      </c>
    </row>
    <row r="121" ht="14.25" customHeight="1">
      <c r="A121" s="59" t="s">
        <v>326</v>
      </c>
      <c r="B121" s="18">
        <v>2022.0</v>
      </c>
      <c r="C121" s="60">
        <v>13.780000000000001</v>
      </c>
      <c r="D121" s="60">
        <v>60.604080052327944</v>
      </c>
      <c r="E121" s="60">
        <v>20.2706737</v>
      </c>
      <c r="F121" s="60">
        <v>65.0919044</v>
      </c>
      <c r="G121" s="60">
        <v>4670.411</v>
      </c>
      <c r="H121" s="60">
        <v>413.834</v>
      </c>
      <c r="I121" s="60">
        <v>1.5</v>
      </c>
      <c r="J121" s="60">
        <v>3.7650425214489767</v>
      </c>
      <c r="K121" s="60">
        <v>0.0</v>
      </c>
      <c r="L121" s="60">
        <v>574.1689845209689</v>
      </c>
      <c r="M121" s="60">
        <v>0.27</v>
      </c>
      <c r="N121" s="60">
        <v>24.24</v>
      </c>
      <c r="O121" s="60">
        <v>4.706303151811221</v>
      </c>
      <c r="P121" s="60">
        <v>14.118909455433663</v>
      </c>
      <c r="Q121" s="60">
        <v>9.412606303622441</v>
      </c>
      <c r="R121" s="60">
        <v>197.66473237607127</v>
      </c>
    </row>
    <row r="122" ht="14.25" customHeight="1">
      <c r="A122" s="61" t="s">
        <v>330</v>
      </c>
      <c r="B122" s="18">
        <v>2022.0</v>
      </c>
      <c r="C122" s="60">
        <v>7.13</v>
      </c>
      <c r="D122" s="60">
        <v>2.7875211391204484</v>
      </c>
      <c r="E122" s="60">
        <v>37.8770078</v>
      </c>
      <c r="F122" s="60">
        <v>86.6646508</v>
      </c>
      <c r="G122" s="60">
        <v>3380.917</v>
      </c>
      <c r="H122" s="60">
        <v>250.438</v>
      </c>
      <c r="I122" s="60">
        <v>0.5714</v>
      </c>
      <c r="J122" s="60">
        <v>1.7785366200690071</v>
      </c>
      <c r="K122" s="60">
        <v>0.0</v>
      </c>
      <c r="L122" s="60">
        <v>106.71219720414044</v>
      </c>
      <c r="M122" s="60">
        <v>0.0</v>
      </c>
      <c r="N122" s="60">
        <v>0.0</v>
      </c>
      <c r="O122" s="60">
        <v>0.0</v>
      </c>
      <c r="P122" s="60">
        <v>0.0</v>
      </c>
      <c r="Q122" s="60">
        <v>0.0</v>
      </c>
      <c r="R122" s="60">
        <v>1725.180521466937</v>
      </c>
    </row>
    <row r="123" ht="14.25" customHeight="1">
      <c r="A123" s="59" t="s">
        <v>332</v>
      </c>
      <c r="B123" s="18">
        <v>2022.0</v>
      </c>
      <c r="C123" s="60">
        <v>2.9499999999999997</v>
      </c>
      <c r="D123" s="60">
        <v>17.930044754516185</v>
      </c>
      <c r="E123" s="60">
        <v>29.1087334</v>
      </c>
      <c r="F123" s="60">
        <v>75.7212812</v>
      </c>
      <c r="G123" s="60">
        <v>4957.954</v>
      </c>
      <c r="H123" s="60">
        <v>402.943</v>
      </c>
      <c r="I123" s="60">
        <v>1.3333</v>
      </c>
      <c r="J123" s="60">
        <v>0.0</v>
      </c>
      <c r="K123" s="60">
        <v>0.0</v>
      </c>
      <c r="L123" s="60">
        <v>34.6518356809952</v>
      </c>
      <c r="M123" s="60">
        <v>0.0</v>
      </c>
      <c r="N123" s="60">
        <v>0.0</v>
      </c>
      <c r="O123" s="60">
        <v>0.0</v>
      </c>
      <c r="P123" s="60">
        <v>0.0</v>
      </c>
      <c r="Q123" s="60">
        <v>0.0</v>
      </c>
      <c r="R123" s="60">
        <v>0.0</v>
      </c>
    </row>
    <row r="124" ht="14.25" customHeight="1">
      <c r="A124" s="61" t="s">
        <v>319</v>
      </c>
      <c r="B124" s="18">
        <v>2022.0</v>
      </c>
      <c r="C124" s="60">
        <v>19.0</v>
      </c>
      <c r="D124" s="60">
        <v>67.527721087339</v>
      </c>
      <c r="E124" s="60">
        <v>24.9791928</v>
      </c>
      <c r="F124" s="60">
        <v>70.0030335</v>
      </c>
      <c r="G124" s="60">
        <v>6157.575</v>
      </c>
      <c r="H124" s="60">
        <v>618.222</v>
      </c>
      <c r="I124" s="60">
        <v>1.4118</v>
      </c>
      <c r="J124" s="60">
        <v>6.6641490992291805</v>
      </c>
      <c r="K124" s="60">
        <v>0.9255762637818306</v>
      </c>
      <c r="L124" s="60">
        <v>497.9600299146248</v>
      </c>
      <c r="M124" s="60">
        <v>0.78</v>
      </c>
      <c r="N124" s="60">
        <v>21.34</v>
      </c>
      <c r="O124" s="60">
        <v>1.851152527563661</v>
      </c>
      <c r="P124" s="60">
        <v>7.404610110254644</v>
      </c>
      <c r="Q124" s="60">
        <v>5.553457582690983</v>
      </c>
      <c r="R124" s="60">
        <v>588.6665037652442</v>
      </c>
    </row>
    <row r="125" ht="14.25" customHeight="1">
      <c r="A125" s="59" t="s">
        <v>323</v>
      </c>
      <c r="B125" s="18">
        <v>2022.0</v>
      </c>
      <c r="C125" s="60">
        <v>14.469999999999999</v>
      </c>
      <c r="D125" s="60">
        <v>59.98372675690444</v>
      </c>
      <c r="E125" s="60">
        <v>25.5557092</v>
      </c>
      <c r="F125" s="60">
        <v>65.1851452</v>
      </c>
      <c r="G125" s="60">
        <v>4201.964</v>
      </c>
      <c r="H125" s="60">
        <v>982.083</v>
      </c>
      <c r="I125" s="60">
        <v>1.4286</v>
      </c>
      <c r="J125" s="60">
        <v>3.6454622280402322</v>
      </c>
      <c r="K125" s="60">
        <v>0.0</v>
      </c>
      <c r="L125" s="60">
        <v>533.5631079222522</v>
      </c>
      <c r="M125" s="60">
        <v>1.36</v>
      </c>
      <c r="N125" s="60">
        <v>43.78</v>
      </c>
      <c r="O125" s="60">
        <v>0.0</v>
      </c>
      <c r="P125" s="60">
        <v>0.0</v>
      </c>
      <c r="Q125" s="60">
        <v>0.0</v>
      </c>
      <c r="R125" s="60">
        <v>212.09962054052264</v>
      </c>
    </row>
    <row r="126" ht="14.25" customHeight="1">
      <c r="A126" s="61" t="s">
        <v>308</v>
      </c>
      <c r="B126" s="18">
        <v>2022.0</v>
      </c>
      <c r="C126" s="60">
        <v>27.49</v>
      </c>
      <c r="D126" s="60">
        <v>82.16397137514203</v>
      </c>
      <c r="E126" s="60">
        <v>47.4676294</v>
      </c>
      <c r="F126" s="60">
        <v>80.6478284</v>
      </c>
      <c r="G126" s="60">
        <v>19105.569</v>
      </c>
      <c r="H126" s="60">
        <v>3297.164</v>
      </c>
      <c r="I126" s="60">
        <v>2.8571</v>
      </c>
      <c r="J126" s="60">
        <v>18.158906943855964</v>
      </c>
      <c r="K126" s="60">
        <v>1.887914787030045</v>
      </c>
      <c r="L126" s="60">
        <v>1244.7370796298994</v>
      </c>
      <c r="M126" s="60">
        <v>0.95</v>
      </c>
      <c r="N126" s="60">
        <v>18.57</v>
      </c>
      <c r="O126" s="60">
        <v>38.51889351727022</v>
      </c>
      <c r="P126" s="60">
        <v>5.502699073895746</v>
      </c>
      <c r="Q126" s="60">
        <v>11.005398147791492</v>
      </c>
      <c r="R126" s="60">
        <v>1221.5991944048556</v>
      </c>
    </row>
    <row r="127" ht="14.25" customHeight="1">
      <c r="A127" s="59" t="s">
        <v>321</v>
      </c>
      <c r="B127" s="18">
        <v>2022.0</v>
      </c>
      <c r="C127" s="60">
        <v>15.67</v>
      </c>
      <c r="D127" s="60">
        <v>71.79476627684825</v>
      </c>
      <c r="E127" s="60">
        <v>30.6622944</v>
      </c>
      <c r="F127" s="60">
        <v>70.2917405</v>
      </c>
      <c r="G127" s="60">
        <v>5908.185</v>
      </c>
      <c r="H127" s="60">
        <v>650.592</v>
      </c>
      <c r="I127" s="60">
        <v>1.3846</v>
      </c>
      <c r="J127" s="60">
        <v>1.4853295853516797</v>
      </c>
      <c r="K127" s="60">
        <v>0.0</v>
      </c>
      <c r="L127" s="60">
        <v>226.51276176613112</v>
      </c>
      <c r="M127" s="60">
        <v>0.72</v>
      </c>
      <c r="N127" s="60">
        <v>27.87</v>
      </c>
      <c r="O127" s="60">
        <v>1.8566619816895995</v>
      </c>
      <c r="P127" s="60">
        <v>0.0</v>
      </c>
      <c r="Q127" s="60">
        <v>0.0</v>
      </c>
      <c r="R127" s="60">
        <v>155.95960646192637</v>
      </c>
    </row>
    <row r="128" ht="14.25" customHeight="1">
      <c r="A128" s="61" t="s">
        <v>317</v>
      </c>
      <c r="B128" s="18">
        <v>2022.0</v>
      </c>
      <c r="C128" s="60">
        <v>20.119999999999997</v>
      </c>
      <c r="D128" s="60">
        <v>86.43716769207384</v>
      </c>
      <c r="E128" s="60">
        <v>36.7424602</v>
      </c>
      <c r="F128" s="60">
        <v>83.4150178</v>
      </c>
      <c r="G128" s="60">
        <v>4178.86</v>
      </c>
      <c r="H128" s="60">
        <v>480.917</v>
      </c>
      <c r="I128" s="60">
        <v>1.2381</v>
      </c>
      <c r="J128" s="60">
        <v>1.0679310970856162</v>
      </c>
      <c r="K128" s="60">
        <v>0.0</v>
      </c>
      <c r="L128" s="60">
        <v>299.0207071839725</v>
      </c>
      <c r="M128" s="60">
        <v>0.72</v>
      </c>
      <c r="N128" s="60">
        <v>17.31</v>
      </c>
      <c r="O128" s="60">
        <v>7.11954064723744</v>
      </c>
      <c r="P128" s="60">
        <v>3.55977032361872</v>
      </c>
      <c r="Q128" s="60">
        <v>7.11954064723744</v>
      </c>
      <c r="R128" s="60">
        <v>437.85174980510254</v>
      </c>
    </row>
    <row r="129" ht="14.25" customHeight="1">
      <c r="A129" s="59" t="s">
        <v>322</v>
      </c>
      <c r="B129" s="18">
        <v>2022.0</v>
      </c>
      <c r="C129" s="60">
        <v>20.54</v>
      </c>
      <c r="D129" s="60">
        <v>55.298305675397444</v>
      </c>
      <c r="E129" s="60">
        <v>35.2480058</v>
      </c>
      <c r="F129" s="60">
        <v>75.0560502</v>
      </c>
      <c r="G129" s="60">
        <v>5190.905</v>
      </c>
      <c r="H129" s="60">
        <v>631.243</v>
      </c>
      <c r="I129" s="60">
        <v>0.8667</v>
      </c>
      <c r="J129" s="60">
        <v>0.5411167567626066</v>
      </c>
      <c r="K129" s="60">
        <v>0.0</v>
      </c>
      <c r="L129" s="60">
        <v>113.6345189201474</v>
      </c>
      <c r="M129" s="60">
        <v>0.0</v>
      </c>
      <c r="N129" s="60">
        <v>0.0</v>
      </c>
      <c r="O129" s="60">
        <v>0.0</v>
      </c>
      <c r="P129" s="60">
        <v>5.411167567626066</v>
      </c>
      <c r="Q129" s="60">
        <v>16.2335027028782</v>
      </c>
      <c r="R129" s="60">
        <v>378.78172973382465</v>
      </c>
    </row>
    <row r="130" ht="14.25" customHeight="1">
      <c r="A130" s="63" t="s">
        <v>329</v>
      </c>
      <c r="B130" s="64">
        <v>2023.0</v>
      </c>
      <c r="C130" s="60">
        <v>10.4</v>
      </c>
      <c r="D130" s="60">
        <v>13.6593008177008</v>
      </c>
      <c r="E130" s="60">
        <v>16.2757058</v>
      </c>
      <c r="F130" s="60">
        <v>70.4807958</v>
      </c>
      <c r="G130" s="60">
        <v>626.922</v>
      </c>
      <c r="H130" s="60">
        <v>130.116</v>
      </c>
      <c r="I130" s="60">
        <v>0.2857</v>
      </c>
      <c r="J130" s="60">
        <v>0.0</v>
      </c>
      <c r="K130" s="60">
        <v>0.0</v>
      </c>
      <c r="L130" s="60">
        <v>81.82385369894959</v>
      </c>
      <c r="M130" s="60">
        <v>0.0</v>
      </c>
      <c r="N130" s="60">
        <v>0.0</v>
      </c>
      <c r="O130" s="60">
        <v>0.0</v>
      </c>
      <c r="P130" s="60">
        <v>0.0</v>
      </c>
      <c r="Q130" s="60">
        <v>0.0</v>
      </c>
      <c r="R130" s="60">
        <v>214.78761595974265</v>
      </c>
    </row>
    <row r="131" ht="14.25" customHeight="1">
      <c r="A131" s="59" t="s">
        <v>306</v>
      </c>
      <c r="B131" s="18">
        <v>2023.0</v>
      </c>
      <c r="C131" s="60">
        <v>29.599999999999998</v>
      </c>
      <c r="D131" s="60">
        <v>132.044311214277</v>
      </c>
      <c r="E131" s="60">
        <v>42.3139963</v>
      </c>
      <c r="F131" s="60">
        <v>78.5758242</v>
      </c>
      <c r="G131" s="60">
        <v>12931.552</v>
      </c>
      <c r="H131" s="60">
        <v>1751.629</v>
      </c>
      <c r="I131" s="60">
        <v>0.9444</v>
      </c>
      <c r="J131" s="60">
        <v>3.2664047010096455</v>
      </c>
      <c r="K131" s="60">
        <v>0.0</v>
      </c>
      <c r="L131" s="60">
        <v>614.0840837898133</v>
      </c>
      <c r="M131" s="60">
        <v>0.82</v>
      </c>
      <c r="N131" s="60">
        <v>22.73</v>
      </c>
      <c r="O131" s="60">
        <v>52.262475216154336</v>
      </c>
      <c r="P131" s="60">
        <v>28.7885508628622</v>
      </c>
      <c r="Q131" s="60">
        <v>19.59842820605787</v>
      </c>
      <c r="R131" s="60">
        <v>1541.743018876553</v>
      </c>
    </row>
    <row r="132" ht="14.25" customHeight="1">
      <c r="A132" s="61" t="s">
        <v>320</v>
      </c>
      <c r="B132" s="18">
        <v>2023.0</v>
      </c>
      <c r="C132" s="60">
        <v>20.7</v>
      </c>
      <c r="D132" s="60">
        <v>125.133933842716</v>
      </c>
      <c r="E132" s="60">
        <v>38.1559934</v>
      </c>
      <c r="F132" s="60">
        <v>75.9999813</v>
      </c>
      <c r="G132" s="60">
        <v>6791.076</v>
      </c>
      <c r="H132" s="60">
        <v>1197.532</v>
      </c>
      <c r="I132" s="60">
        <v>1.878</v>
      </c>
      <c r="J132" s="60">
        <v>6.97251062423675</v>
      </c>
      <c r="K132" s="60">
        <v>1.111559664733395</v>
      </c>
      <c r="L132" s="60">
        <v>682.093430631856</v>
      </c>
      <c r="M132" s="60">
        <v>1.22</v>
      </c>
      <c r="N132" s="60">
        <v>19.54</v>
      </c>
      <c r="O132" s="60">
        <v>16.168140577940292</v>
      </c>
      <c r="P132" s="60">
        <v>9.094579075091412</v>
      </c>
      <c r="Q132" s="60">
        <v>10.10508786121268</v>
      </c>
      <c r="R132" s="60">
        <v>1434.9224762922006</v>
      </c>
    </row>
    <row r="133" ht="14.25" customHeight="1">
      <c r="A133" s="59" t="s">
        <v>305</v>
      </c>
      <c r="B133" s="18">
        <v>2023.0</v>
      </c>
      <c r="C133" s="60">
        <v>28.7</v>
      </c>
      <c r="D133" s="60">
        <v>153.197613838552</v>
      </c>
      <c r="E133" s="60">
        <v>57.7843406</v>
      </c>
      <c r="F133" s="60">
        <v>84.3940565</v>
      </c>
      <c r="G133" s="60">
        <v>19056.405</v>
      </c>
      <c r="H133" s="60">
        <v>2234.745</v>
      </c>
      <c r="I133" s="60">
        <v>2.5037</v>
      </c>
      <c r="J133" s="60">
        <v>8.66216978970487</v>
      </c>
      <c r="K133" s="60">
        <v>1.6384456053840595</v>
      </c>
      <c r="L133" s="60">
        <v>835.9882926075875</v>
      </c>
      <c r="M133" s="60">
        <v>1.49</v>
      </c>
      <c r="N133" s="60">
        <v>25.62</v>
      </c>
      <c r="O133" s="60">
        <v>31.75282180976859</v>
      </c>
      <c r="P133" s="60">
        <v>18.924681798622082</v>
      </c>
      <c r="Q133" s="60">
        <v>26.037313884010242</v>
      </c>
      <c r="R133" s="60">
        <v>3464.613893307471</v>
      </c>
    </row>
    <row r="134" ht="14.25" customHeight="1">
      <c r="A134" s="61" t="s">
        <v>310</v>
      </c>
      <c r="B134" s="18">
        <v>2023.0</v>
      </c>
      <c r="C134" s="60">
        <v>25.5</v>
      </c>
      <c r="D134" s="60">
        <v>142.417155602363</v>
      </c>
      <c r="E134" s="60">
        <v>44.179312</v>
      </c>
      <c r="F134" s="60">
        <v>82.2888716</v>
      </c>
      <c r="G134" s="60">
        <v>9711.139</v>
      </c>
      <c r="H134" s="60">
        <v>1376.328</v>
      </c>
      <c r="I134" s="60">
        <v>1.8649</v>
      </c>
      <c r="J134" s="60">
        <v>8.054166957511585</v>
      </c>
      <c r="K134" s="60">
        <v>0.5369444638341057</v>
      </c>
      <c r="L134" s="60">
        <v>823.0591567057077</v>
      </c>
      <c r="M134" s="60">
        <v>0.82</v>
      </c>
      <c r="N134" s="60">
        <v>23.1</v>
      </c>
      <c r="O134" s="60">
        <v>55.228573422936584</v>
      </c>
      <c r="P134" s="60">
        <v>11.50595279644512</v>
      </c>
      <c r="Q134" s="60">
        <v>17.642460954549183</v>
      </c>
      <c r="R134" s="60">
        <v>1545.6329923224614</v>
      </c>
    </row>
    <row r="135" ht="14.25" customHeight="1">
      <c r="A135" s="59" t="s">
        <v>311</v>
      </c>
      <c r="B135" s="18">
        <v>2023.0</v>
      </c>
      <c r="C135" s="60">
        <v>25.1</v>
      </c>
      <c r="D135" s="60">
        <v>137.453240400691</v>
      </c>
      <c r="E135" s="60">
        <v>43.512407</v>
      </c>
      <c r="F135" s="60">
        <v>83.1247403</v>
      </c>
      <c r="G135" s="60">
        <v>6158.517</v>
      </c>
      <c r="H135" s="60">
        <v>883.124</v>
      </c>
      <c r="I135" s="60">
        <v>1.7091</v>
      </c>
      <c r="J135" s="60">
        <v>6.877143603564541</v>
      </c>
      <c r="K135" s="60">
        <v>0.6290070369113909</v>
      </c>
      <c r="L135" s="60">
        <v>612.2335159270872</v>
      </c>
      <c r="M135" s="60">
        <v>1.18</v>
      </c>
      <c r="N135" s="60">
        <v>30.56</v>
      </c>
      <c r="O135" s="60">
        <v>11.74146468901263</v>
      </c>
      <c r="P135" s="60">
        <v>7.967422467544285</v>
      </c>
      <c r="Q135" s="60">
        <v>19.28954913194932</v>
      </c>
      <c r="R135" s="60">
        <v>2215.7821220265264</v>
      </c>
    </row>
    <row r="136" ht="14.25" customHeight="1">
      <c r="A136" s="61" t="s">
        <v>318</v>
      </c>
      <c r="B136" s="18">
        <v>2023.0</v>
      </c>
      <c r="C136" s="60">
        <v>18.6</v>
      </c>
      <c r="D136" s="60">
        <v>129.889047610566</v>
      </c>
      <c r="E136" s="60">
        <v>27.2647589</v>
      </c>
      <c r="F136" s="60">
        <v>73.1380787</v>
      </c>
      <c r="G136" s="60">
        <v>5682.858</v>
      </c>
      <c r="H136" s="60">
        <v>1010.732</v>
      </c>
      <c r="I136" s="60">
        <v>1.359</v>
      </c>
      <c r="J136" s="60">
        <v>4.697153429161654</v>
      </c>
      <c r="K136" s="60">
        <v>0.2875808221935706</v>
      </c>
      <c r="L136" s="60">
        <v>535.8589320206866</v>
      </c>
      <c r="M136" s="60">
        <v>0.0</v>
      </c>
      <c r="N136" s="60">
        <v>38.86</v>
      </c>
      <c r="O136" s="60">
        <v>7.668821925161883</v>
      </c>
      <c r="P136" s="60">
        <v>1.9172054812904709</v>
      </c>
      <c r="Q136" s="60">
        <v>18.213452072259475</v>
      </c>
      <c r="R136" s="60">
        <v>804.2676994013526</v>
      </c>
    </row>
    <row r="137" ht="14.25" customHeight="1">
      <c r="A137" s="59" t="s">
        <v>324</v>
      </c>
      <c r="B137" s="18">
        <v>2023.0</v>
      </c>
      <c r="C137" s="60">
        <v>15.1</v>
      </c>
      <c r="D137" s="60">
        <v>100.178127899036</v>
      </c>
      <c r="E137" s="60">
        <v>31.8770321</v>
      </c>
      <c r="F137" s="60">
        <v>76.7678991</v>
      </c>
      <c r="G137" s="60">
        <v>6731.985</v>
      </c>
      <c r="H137" s="60">
        <v>829.62</v>
      </c>
      <c r="I137" s="60">
        <v>1.2917</v>
      </c>
      <c r="J137" s="60">
        <v>2.3929536130728013</v>
      </c>
      <c r="K137" s="60">
        <v>0.47859072261456026</v>
      </c>
      <c r="L137" s="60">
        <v>294.8118851305691</v>
      </c>
      <c r="M137" s="60">
        <v>0.82</v>
      </c>
      <c r="N137" s="60">
        <v>16.13</v>
      </c>
      <c r="O137" s="60">
        <v>8.614633007062086</v>
      </c>
      <c r="P137" s="60">
        <v>0.0</v>
      </c>
      <c r="Q137" s="60">
        <v>6.700270116603844</v>
      </c>
      <c r="R137" s="60">
        <v>826.047587232731</v>
      </c>
    </row>
    <row r="138" ht="14.25" customHeight="1">
      <c r="A138" s="61" t="s">
        <v>327</v>
      </c>
      <c r="B138" s="18">
        <v>2023.0</v>
      </c>
      <c r="C138" s="60">
        <v>15.2</v>
      </c>
      <c r="D138" s="60">
        <v>75.7721239920448</v>
      </c>
      <c r="E138" s="60">
        <v>27.7421977</v>
      </c>
      <c r="F138" s="60">
        <v>70.9600332</v>
      </c>
      <c r="G138" s="60">
        <v>6665.499</v>
      </c>
      <c r="H138" s="60">
        <v>408.568</v>
      </c>
      <c r="I138" s="60">
        <v>2.1667</v>
      </c>
      <c r="J138" s="60">
        <v>2.8307761988337203</v>
      </c>
      <c r="K138" s="60">
        <v>0.0</v>
      </c>
      <c r="L138" s="60">
        <v>368.0009058483836</v>
      </c>
      <c r="M138" s="60">
        <v>0.58</v>
      </c>
      <c r="N138" s="60">
        <v>5.26</v>
      </c>
      <c r="O138" s="60">
        <v>0.0</v>
      </c>
      <c r="P138" s="60">
        <v>0.0</v>
      </c>
      <c r="Q138" s="60">
        <v>0.0</v>
      </c>
      <c r="R138" s="60">
        <v>215.13899111136274</v>
      </c>
    </row>
    <row r="139" ht="14.25" customHeight="1">
      <c r="A139" s="59" t="s">
        <v>313</v>
      </c>
      <c r="B139" s="18">
        <v>2023.0</v>
      </c>
      <c r="C139" s="60">
        <v>27.800000000000004</v>
      </c>
      <c r="D139" s="60">
        <v>122.588931726529</v>
      </c>
      <c r="E139" s="60">
        <v>40.9609885</v>
      </c>
      <c r="F139" s="60">
        <v>80.694423</v>
      </c>
      <c r="G139" s="60">
        <v>8717.982</v>
      </c>
      <c r="H139" s="60">
        <v>1681.371</v>
      </c>
      <c r="I139" s="60">
        <v>1.4444</v>
      </c>
      <c r="J139" s="60">
        <v>3.705453501190377</v>
      </c>
      <c r="K139" s="60">
        <v>0.0</v>
      </c>
      <c r="L139" s="60">
        <v>516.9107634160575</v>
      </c>
      <c r="M139" s="60">
        <v>1.11</v>
      </c>
      <c r="N139" s="60">
        <v>18.64</v>
      </c>
      <c r="O139" s="60">
        <v>12.969087254166318</v>
      </c>
      <c r="P139" s="60">
        <v>9.263633752975943</v>
      </c>
      <c r="Q139" s="60">
        <v>49.84949853988491</v>
      </c>
      <c r="R139" s="60">
        <v>1396.9559699487722</v>
      </c>
    </row>
    <row r="140" ht="14.25" customHeight="1">
      <c r="A140" s="61" t="s">
        <v>334</v>
      </c>
      <c r="B140" s="18">
        <v>2023.0</v>
      </c>
      <c r="C140" s="60">
        <v>2.1999999999999997</v>
      </c>
      <c r="D140" s="60">
        <v>3.12719240837696</v>
      </c>
      <c r="E140" s="60">
        <v>20.0186151</v>
      </c>
      <c r="F140" s="60">
        <v>53.6755545</v>
      </c>
      <c r="G140" s="60">
        <v>2232.369</v>
      </c>
      <c r="H140" s="60">
        <v>304.414</v>
      </c>
      <c r="I140" s="60">
        <v>2.0</v>
      </c>
      <c r="J140" s="60">
        <v>0.0</v>
      </c>
      <c r="K140" s="60">
        <v>0.0</v>
      </c>
      <c r="L140" s="60">
        <v>0.0</v>
      </c>
      <c r="M140" s="60">
        <v>0.0</v>
      </c>
      <c r="N140" s="60">
        <v>0.0</v>
      </c>
      <c r="O140" s="60">
        <v>0.0</v>
      </c>
      <c r="P140" s="60">
        <v>27.7592715967133</v>
      </c>
      <c r="Q140" s="60">
        <v>0.0</v>
      </c>
      <c r="R140" s="60">
        <v>194.31490117699312</v>
      </c>
    </row>
    <row r="141" ht="14.25" customHeight="1">
      <c r="A141" s="59" t="s">
        <v>335</v>
      </c>
      <c r="B141" s="18">
        <v>2023.0</v>
      </c>
      <c r="C141" s="60">
        <v>1.7000000000000002</v>
      </c>
      <c r="D141" s="60">
        <v>12.3485508867713</v>
      </c>
      <c r="E141" s="60">
        <v>21.8621447</v>
      </c>
      <c r="F141" s="60">
        <v>53.6509943</v>
      </c>
      <c r="G141" s="60">
        <v>628.452</v>
      </c>
      <c r="H141" s="60">
        <v>38.088</v>
      </c>
      <c r="I141" s="60">
        <v>0.625</v>
      </c>
      <c r="J141" s="60">
        <v>7.518655664367211</v>
      </c>
      <c r="K141" s="60">
        <v>0.0</v>
      </c>
      <c r="L141" s="60">
        <v>413.5260615401966</v>
      </c>
      <c r="M141" s="60">
        <v>0.91</v>
      </c>
      <c r="N141" s="60">
        <v>41.73980000000001</v>
      </c>
      <c r="O141" s="60">
        <v>0.0</v>
      </c>
      <c r="P141" s="60">
        <v>0.0</v>
      </c>
      <c r="Q141" s="60">
        <v>0.0</v>
      </c>
      <c r="R141" s="60">
        <v>263.1529482528524</v>
      </c>
    </row>
    <row r="142" ht="14.25" customHeight="1">
      <c r="A142" s="61" t="s">
        <v>315</v>
      </c>
      <c r="B142" s="18">
        <v>2023.0</v>
      </c>
      <c r="C142" s="60">
        <v>22.0</v>
      </c>
      <c r="D142" s="60">
        <v>135.498625590992</v>
      </c>
      <c r="E142" s="60">
        <v>46.4539914</v>
      </c>
      <c r="F142" s="60">
        <v>79.1345077</v>
      </c>
      <c r="G142" s="60">
        <v>10916.159</v>
      </c>
      <c r="H142" s="60">
        <v>2153.26</v>
      </c>
      <c r="I142" s="60">
        <v>2.5</v>
      </c>
      <c r="J142" s="60">
        <v>16.923727835685987</v>
      </c>
      <c r="K142" s="60">
        <v>1.730835801376976</v>
      </c>
      <c r="L142" s="60">
        <v>1132.73587445671</v>
      </c>
      <c r="M142" s="60">
        <v>0.77</v>
      </c>
      <c r="N142" s="60">
        <v>37.82</v>
      </c>
      <c r="O142" s="60">
        <v>30.7704142467018</v>
      </c>
      <c r="P142" s="60">
        <v>21.154659794607483</v>
      </c>
      <c r="Q142" s="60">
        <v>26.92411246586407</v>
      </c>
      <c r="R142" s="60">
        <v>1601.9846917189122</v>
      </c>
    </row>
    <row r="143" ht="14.25" customHeight="1">
      <c r="A143" s="59" t="s">
        <v>307</v>
      </c>
      <c r="B143" s="18">
        <v>2023.0</v>
      </c>
      <c r="C143" s="60">
        <v>28.799999999999997</v>
      </c>
      <c r="D143" s="60">
        <v>159.25123958674</v>
      </c>
      <c r="E143" s="60">
        <v>41.7259074</v>
      </c>
      <c r="F143" s="60">
        <v>77.984066</v>
      </c>
      <c r="G143" s="60">
        <v>10051.571</v>
      </c>
      <c r="H143" s="60">
        <v>1434.619</v>
      </c>
      <c r="I143" s="60">
        <v>2.4722</v>
      </c>
      <c r="J143" s="60">
        <v>9.464743223219521</v>
      </c>
      <c r="K143" s="60">
        <v>1.0462312560371194</v>
      </c>
      <c r="L143" s="60">
        <v>831.6321937522962</v>
      </c>
      <c r="M143" s="60">
        <v>1.08</v>
      </c>
      <c r="N143" s="60">
        <v>27.02</v>
      </c>
      <c r="O143" s="60">
        <v>24.087649848296465</v>
      </c>
      <c r="P143" s="60">
        <v>9.245764588235007</v>
      </c>
      <c r="Q143" s="60">
        <v>34.54996240866766</v>
      </c>
      <c r="R143" s="60">
        <v>3883.7077462475577</v>
      </c>
    </row>
    <row r="144" ht="14.25" customHeight="1">
      <c r="A144" s="61" t="s">
        <v>336</v>
      </c>
      <c r="B144" s="18">
        <v>2023.0</v>
      </c>
      <c r="C144" s="60">
        <v>0.2</v>
      </c>
      <c r="D144" s="60">
        <v>34.682</v>
      </c>
      <c r="E144" s="60">
        <v>24.5309395</v>
      </c>
      <c r="F144" s="60">
        <v>51.9400753</v>
      </c>
      <c r="G144" s="60">
        <v>0.0</v>
      </c>
      <c r="H144" s="60">
        <v>0.0</v>
      </c>
      <c r="I144" s="60">
        <v>0.0</v>
      </c>
      <c r="J144" s="60">
        <v>0.0</v>
      </c>
      <c r="K144" s="60">
        <v>0.0</v>
      </c>
      <c r="L144" s="60">
        <v>30.150450749238704</v>
      </c>
      <c r="M144" s="60">
        <v>0.0</v>
      </c>
      <c r="N144" s="60">
        <v>0.0</v>
      </c>
      <c r="O144" s="60">
        <v>0.0</v>
      </c>
      <c r="P144" s="60">
        <v>0.0</v>
      </c>
      <c r="Q144" s="60">
        <v>0.0</v>
      </c>
      <c r="R144" s="60">
        <v>30.150450749238704</v>
      </c>
    </row>
    <row r="145" ht="14.25" customHeight="1">
      <c r="A145" s="59" t="s">
        <v>331</v>
      </c>
      <c r="B145" s="18">
        <v>2023.0</v>
      </c>
      <c r="C145" s="60">
        <v>4.7</v>
      </c>
      <c r="D145" s="60">
        <v>13.2588181818182</v>
      </c>
      <c r="E145" s="60">
        <v>22.0482343</v>
      </c>
      <c r="F145" s="60">
        <v>64.8403904</v>
      </c>
      <c r="G145" s="60">
        <v>4172.741</v>
      </c>
      <c r="H145" s="60">
        <v>710.641</v>
      </c>
      <c r="I145" s="60">
        <v>0.2857</v>
      </c>
      <c r="J145" s="60">
        <v>0.0</v>
      </c>
      <c r="K145" s="60">
        <v>0.0</v>
      </c>
      <c r="L145" s="60">
        <v>15.883100381194408</v>
      </c>
      <c r="M145" s="60">
        <v>1.0</v>
      </c>
      <c r="N145" s="60">
        <v>0.0</v>
      </c>
      <c r="O145" s="60">
        <v>0.0</v>
      </c>
      <c r="P145" s="60">
        <v>0.0</v>
      </c>
      <c r="Q145" s="60">
        <v>0.0</v>
      </c>
      <c r="R145" s="60">
        <v>317.6620076238882</v>
      </c>
    </row>
    <row r="146" ht="14.25" customHeight="1">
      <c r="A146" s="61" t="s">
        <v>328</v>
      </c>
      <c r="B146" s="18">
        <v>2023.0</v>
      </c>
      <c r="C146" s="60">
        <v>13.3</v>
      </c>
      <c r="D146" s="60">
        <v>111.729767047361</v>
      </c>
      <c r="E146" s="60">
        <v>20.8404833</v>
      </c>
      <c r="F146" s="60">
        <v>65.5324342</v>
      </c>
      <c r="G146" s="60">
        <v>7725.332</v>
      </c>
      <c r="H146" s="60">
        <v>1040.342</v>
      </c>
      <c r="I146" s="60">
        <v>0.8636</v>
      </c>
      <c r="J146" s="60">
        <v>5.2062444081078585</v>
      </c>
      <c r="K146" s="60">
        <v>0.1928238669669577</v>
      </c>
      <c r="L146" s="60">
        <v>576.5433622312036</v>
      </c>
      <c r="M146" s="60">
        <v>0.86</v>
      </c>
      <c r="N146" s="60">
        <v>30.63</v>
      </c>
      <c r="O146" s="60">
        <v>3.856477339339154</v>
      </c>
      <c r="P146" s="60">
        <v>1.928238669669577</v>
      </c>
      <c r="Q146" s="60">
        <v>0.0</v>
      </c>
      <c r="R146" s="60">
        <v>316.23114182581065</v>
      </c>
    </row>
    <row r="147" ht="14.25" customHeight="1">
      <c r="A147" s="59" t="s">
        <v>312</v>
      </c>
      <c r="B147" s="18">
        <v>2023.0</v>
      </c>
      <c r="C147" s="62">
        <v>25.8</v>
      </c>
      <c r="D147" s="62">
        <v>95.461710843323</v>
      </c>
      <c r="E147" s="62">
        <v>32.7636501</v>
      </c>
      <c r="F147" s="62">
        <v>75.8441937</v>
      </c>
      <c r="G147" s="62">
        <v>8400.209</v>
      </c>
      <c r="H147" s="62">
        <v>1145.038</v>
      </c>
      <c r="I147" s="62">
        <v>1.0476</v>
      </c>
      <c r="J147" s="62">
        <v>3.1943778949049673</v>
      </c>
      <c r="K147" s="62">
        <v>0.0</v>
      </c>
      <c r="L147" s="62">
        <v>519.0864079220572</v>
      </c>
      <c r="M147" s="62">
        <v>1.03</v>
      </c>
      <c r="N147" s="62">
        <v>25.39</v>
      </c>
      <c r="O147" s="62">
        <v>21.29585263269978</v>
      </c>
      <c r="P147" s="62">
        <v>10.64792631634989</v>
      </c>
      <c r="Q147" s="62">
        <v>7.985944737262418</v>
      </c>
      <c r="R147" s="62">
        <v>798.5944737262419</v>
      </c>
    </row>
    <row r="148" ht="14.25" customHeight="1">
      <c r="A148" s="61" t="s">
        <v>314</v>
      </c>
      <c r="B148" s="18">
        <v>2023.0</v>
      </c>
      <c r="C148" s="62">
        <v>21.7</v>
      </c>
      <c r="D148" s="62">
        <v>107.476696118842</v>
      </c>
      <c r="E148" s="62">
        <v>40.9006332</v>
      </c>
      <c r="F148" s="62">
        <v>76.2048464</v>
      </c>
      <c r="G148" s="62">
        <v>9584.022</v>
      </c>
      <c r="H148" s="62">
        <v>1449.275</v>
      </c>
      <c r="I148" s="62">
        <v>1.0741</v>
      </c>
      <c r="J148" s="62">
        <v>2.693714828655249</v>
      </c>
      <c r="K148" s="62">
        <v>0.7346494987241587</v>
      </c>
      <c r="L148" s="62">
        <v>666.0822121765706</v>
      </c>
      <c r="M148" s="62">
        <v>0.5</v>
      </c>
      <c r="N148" s="62">
        <v>20.74</v>
      </c>
      <c r="O148" s="62">
        <v>12.244158312069311</v>
      </c>
      <c r="P148" s="62">
        <v>2.4488316624138626</v>
      </c>
      <c r="Q148" s="62">
        <v>2.4488316624138626</v>
      </c>
      <c r="R148" s="62">
        <v>805.6656169341607</v>
      </c>
    </row>
    <row r="149" ht="14.25" customHeight="1">
      <c r="A149" s="59" t="s">
        <v>309</v>
      </c>
      <c r="B149" s="18">
        <v>2023.0</v>
      </c>
      <c r="C149" s="60">
        <v>25.2</v>
      </c>
      <c r="D149" s="60">
        <v>124.321380428771</v>
      </c>
      <c r="E149" s="60">
        <v>41.5440928</v>
      </c>
      <c r="F149" s="60">
        <v>78.3794956</v>
      </c>
      <c r="G149" s="60">
        <v>12879.57</v>
      </c>
      <c r="H149" s="60">
        <v>2149.069</v>
      </c>
      <c r="I149" s="60">
        <v>1.375</v>
      </c>
      <c r="J149" s="60">
        <v>6.537897330494796</v>
      </c>
      <c r="K149" s="60">
        <v>0.40861858315592475</v>
      </c>
      <c r="L149" s="60">
        <v>547.5489014289392</v>
      </c>
      <c r="M149" s="60">
        <v>0.89</v>
      </c>
      <c r="N149" s="60">
        <v>32.87</v>
      </c>
      <c r="O149" s="60">
        <v>13.620619438530825</v>
      </c>
      <c r="P149" s="60">
        <v>9.534433606971577</v>
      </c>
      <c r="Q149" s="60">
        <v>31.3274247086209</v>
      </c>
      <c r="R149" s="60">
        <v>1846.9559958647799</v>
      </c>
    </row>
    <row r="150" ht="14.25" customHeight="1">
      <c r="A150" s="61" t="s">
        <v>316</v>
      </c>
      <c r="B150" s="18">
        <v>2023.0</v>
      </c>
      <c r="C150" s="60">
        <v>21.0</v>
      </c>
      <c r="D150" s="60">
        <v>100.807355102217</v>
      </c>
      <c r="E150" s="60">
        <v>37.2193523</v>
      </c>
      <c r="F150" s="60">
        <v>76.1150205</v>
      </c>
      <c r="G150" s="60">
        <v>17276.67</v>
      </c>
      <c r="H150" s="60">
        <v>2096.332</v>
      </c>
      <c r="I150" s="60">
        <v>1.4762</v>
      </c>
      <c r="J150" s="60">
        <v>8.039877793857533</v>
      </c>
      <c r="K150" s="60">
        <v>0.2977732516243531</v>
      </c>
      <c r="L150" s="60">
        <v>970.7408002953911</v>
      </c>
      <c r="M150" s="60">
        <v>1.06</v>
      </c>
      <c r="N150" s="60">
        <v>28.1</v>
      </c>
      <c r="O150" s="60">
        <v>17.866395097461186</v>
      </c>
      <c r="P150" s="60">
        <v>14.888662581217654</v>
      </c>
      <c r="Q150" s="60">
        <v>14.888662581217654</v>
      </c>
      <c r="R150" s="60">
        <v>717.633536414691</v>
      </c>
    </row>
    <row r="151" ht="14.25" customHeight="1">
      <c r="A151" s="59" t="s">
        <v>333</v>
      </c>
      <c r="B151" s="18">
        <v>2023.0</v>
      </c>
      <c r="C151" s="60">
        <v>4.6</v>
      </c>
      <c r="D151" s="60">
        <v>3.35588742393509</v>
      </c>
      <c r="E151" s="60">
        <v>12.2041825</v>
      </c>
      <c r="F151" s="60">
        <v>44.8019681</v>
      </c>
      <c r="G151" s="60">
        <v>2480.478</v>
      </c>
      <c r="H151" s="60">
        <v>459.348</v>
      </c>
      <c r="I151" s="60">
        <v>1.0</v>
      </c>
      <c r="J151" s="60">
        <v>0.0</v>
      </c>
      <c r="K151" s="60">
        <v>0.0</v>
      </c>
      <c r="L151" s="60">
        <v>0.0</v>
      </c>
      <c r="M151" s="60">
        <v>0.0</v>
      </c>
      <c r="N151" s="60">
        <v>0.0</v>
      </c>
      <c r="O151" s="60">
        <v>0.0</v>
      </c>
      <c r="P151" s="60">
        <v>0.0</v>
      </c>
      <c r="Q151" s="60">
        <v>0.0</v>
      </c>
      <c r="R151" s="60">
        <v>45.728918968355586</v>
      </c>
    </row>
    <row r="152" ht="14.25" customHeight="1">
      <c r="A152" s="61" t="s">
        <v>325</v>
      </c>
      <c r="B152" s="18">
        <v>2023.0</v>
      </c>
      <c r="C152" s="60">
        <v>11.5</v>
      </c>
      <c r="D152" s="60">
        <v>11.3612911320861</v>
      </c>
      <c r="E152" s="60">
        <v>20.4622027</v>
      </c>
      <c r="F152" s="60">
        <v>71.5731281</v>
      </c>
      <c r="G152" s="60">
        <v>5864.517</v>
      </c>
      <c r="H152" s="60">
        <v>562.047</v>
      </c>
      <c r="I152" s="60">
        <v>1.0</v>
      </c>
      <c r="J152" s="60">
        <v>1.4312294260770002</v>
      </c>
      <c r="K152" s="60">
        <v>0.0</v>
      </c>
      <c r="L152" s="60">
        <v>350.651209388865</v>
      </c>
      <c r="M152" s="60">
        <v>0.0</v>
      </c>
      <c r="N152" s="60">
        <v>26.67</v>
      </c>
      <c r="O152" s="60">
        <v>0.0</v>
      </c>
      <c r="P152" s="60">
        <v>0.0</v>
      </c>
      <c r="Q152" s="60">
        <v>7.156147130385</v>
      </c>
      <c r="R152" s="60">
        <v>250.465149563475</v>
      </c>
    </row>
    <row r="153" ht="14.25" customHeight="1">
      <c r="A153" s="59" t="s">
        <v>326</v>
      </c>
      <c r="B153" s="18">
        <v>2023.0</v>
      </c>
      <c r="C153" s="60">
        <v>13.600000000000001</v>
      </c>
      <c r="D153" s="60">
        <v>99.2157487414188</v>
      </c>
      <c r="E153" s="60">
        <v>21.8599769</v>
      </c>
      <c r="F153" s="60">
        <v>70.0575139</v>
      </c>
      <c r="G153" s="60">
        <v>4434.221</v>
      </c>
      <c r="H153" s="60">
        <v>626.468</v>
      </c>
      <c r="I153" s="60">
        <v>1.0909</v>
      </c>
      <c r="J153" s="60">
        <v>3.6744611173117643</v>
      </c>
      <c r="K153" s="60">
        <v>0.0</v>
      </c>
      <c r="L153" s="60">
        <v>560.3553203900441</v>
      </c>
      <c r="M153" s="60">
        <v>0.54</v>
      </c>
      <c r="N153" s="60">
        <v>12.12</v>
      </c>
      <c r="O153" s="60">
        <v>9.18615279327941</v>
      </c>
      <c r="P153" s="60">
        <v>9.18615279327941</v>
      </c>
      <c r="Q153" s="60">
        <v>4.593076396639705</v>
      </c>
      <c r="R153" s="60">
        <v>243.4330490219044</v>
      </c>
    </row>
    <row r="154" ht="14.25" customHeight="1">
      <c r="A154" s="61" t="s">
        <v>330</v>
      </c>
      <c r="B154" s="18">
        <v>2023.0</v>
      </c>
      <c r="C154" s="60">
        <v>11.799999999999999</v>
      </c>
      <c r="D154" s="60">
        <v>140.379162665666</v>
      </c>
      <c r="E154" s="60">
        <v>32.4889687</v>
      </c>
      <c r="F154" s="60">
        <v>70.7280472</v>
      </c>
      <c r="G154" s="60">
        <v>484.447</v>
      </c>
      <c r="H154" s="60">
        <v>331.464</v>
      </c>
      <c r="I154" s="60">
        <v>0.2</v>
      </c>
      <c r="J154" s="60">
        <v>1.7756312369047198</v>
      </c>
      <c r="K154" s="60">
        <v>0.0</v>
      </c>
      <c r="L154" s="60">
        <v>106.53787421428318</v>
      </c>
      <c r="M154" s="60">
        <v>0.0</v>
      </c>
      <c r="N154" s="60">
        <v>0.0</v>
      </c>
      <c r="O154" s="60">
        <v>17.756312369047198</v>
      </c>
      <c r="P154" s="60">
        <v>0.0</v>
      </c>
      <c r="Q154" s="60">
        <v>0.0</v>
      </c>
      <c r="R154" s="60">
        <v>1420.5049895237757</v>
      </c>
    </row>
    <row r="155" ht="14.25" customHeight="1">
      <c r="A155" s="59" t="s">
        <v>332</v>
      </c>
      <c r="B155" s="18">
        <v>2023.0</v>
      </c>
      <c r="C155" s="60">
        <v>2.1999999999999997</v>
      </c>
      <c r="D155" s="60">
        <v>20.3953847376789</v>
      </c>
      <c r="E155" s="60">
        <v>27.4123269</v>
      </c>
      <c r="F155" s="60">
        <v>66.2205632</v>
      </c>
      <c r="G155" s="60">
        <v>2659.118</v>
      </c>
      <c r="H155" s="60">
        <v>308.801</v>
      </c>
      <c r="I155" s="60">
        <v>1.8</v>
      </c>
      <c r="J155" s="60">
        <v>0.0</v>
      </c>
      <c r="K155" s="60">
        <v>0.0</v>
      </c>
      <c r="L155" s="60">
        <v>33.58240282092184</v>
      </c>
      <c r="M155" s="60">
        <v>0.0</v>
      </c>
      <c r="N155" s="60">
        <v>0.0</v>
      </c>
      <c r="O155" s="60">
        <v>0.0</v>
      </c>
      <c r="P155" s="60">
        <v>0.0</v>
      </c>
      <c r="Q155" s="60">
        <v>0.0</v>
      </c>
      <c r="R155" s="60">
        <v>0.0</v>
      </c>
    </row>
    <row r="156" ht="14.25" customHeight="1">
      <c r="A156" s="61" t="s">
        <v>319</v>
      </c>
      <c r="B156" s="18">
        <v>2023.0</v>
      </c>
      <c r="C156" s="60">
        <v>19.400000000000002</v>
      </c>
      <c r="D156" s="60">
        <v>117.729431975045</v>
      </c>
      <c r="E156" s="60">
        <v>21.606336</v>
      </c>
      <c r="F156" s="60">
        <v>69.6726291</v>
      </c>
      <c r="G156" s="60">
        <v>5533.476</v>
      </c>
      <c r="H156" s="60">
        <v>778.559</v>
      </c>
      <c r="I156" s="60">
        <v>1.4</v>
      </c>
      <c r="J156" s="60">
        <v>6.566922411811705</v>
      </c>
      <c r="K156" s="60">
        <v>0.91207255719607</v>
      </c>
      <c r="L156" s="60">
        <v>490.69503577148566</v>
      </c>
      <c r="M156" s="60">
        <v>0.77</v>
      </c>
      <c r="N156" s="60">
        <v>22.59</v>
      </c>
      <c r="O156" s="60">
        <v>0.0</v>
      </c>
      <c r="P156" s="60">
        <v>7.29658045756856</v>
      </c>
      <c r="Q156" s="60">
        <v>3.64829022878428</v>
      </c>
      <c r="R156" s="60">
        <v>800.7997052181496</v>
      </c>
    </row>
    <row r="157" ht="14.25" customHeight="1">
      <c r="A157" s="59" t="s">
        <v>323</v>
      </c>
      <c r="B157" s="18">
        <v>2023.0</v>
      </c>
      <c r="C157" s="60">
        <v>14.7</v>
      </c>
      <c r="D157" s="60">
        <v>97.6507061098743</v>
      </c>
      <c r="E157" s="60">
        <v>26.2947613</v>
      </c>
      <c r="F157" s="60">
        <v>68.2988775</v>
      </c>
      <c r="G157" s="60">
        <v>5277.715</v>
      </c>
      <c r="H157" s="60">
        <v>833.52</v>
      </c>
      <c r="I157" s="60">
        <v>1.3333</v>
      </c>
      <c r="J157" s="60">
        <v>3.592798724883071</v>
      </c>
      <c r="K157" s="60">
        <v>0.0</v>
      </c>
      <c r="L157" s="60">
        <v>525.8550860965222</v>
      </c>
      <c r="M157" s="60">
        <v>0.63</v>
      </c>
      <c r="N157" s="60">
        <v>21.78</v>
      </c>
      <c r="O157" s="60">
        <v>0.0</v>
      </c>
      <c r="P157" s="60">
        <v>3.26618065898461</v>
      </c>
      <c r="Q157" s="60">
        <v>0.0</v>
      </c>
      <c r="R157" s="60">
        <v>267.826814036738</v>
      </c>
    </row>
    <row r="158" ht="14.25" customHeight="1">
      <c r="A158" s="61" t="s">
        <v>308</v>
      </c>
      <c r="B158" s="18">
        <v>2023.0</v>
      </c>
      <c r="C158" s="60">
        <v>28.1</v>
      </c>
      <c r="D158" s="60">
        <v>124.409662044653</v>
      </c>
      <c r="E158" s="60">
        <v>38.6269675</v>
      </c>
      <c r="F158" s="60">
        <v>76.1906959</v>
      </c>
      <c r="G158" s="60">
        <v>21319.157</v>
      </c>
      <c r="H158" s="60">
        <v>2787.289</v>
      </c>
      <c r="I158" s="60">
        <v>2.7143</v>
      </c>
      <c r="J158" s="60">
        <v>17.975618524691964</v>
      </c>
      <c r="K158" s="60">
        <v>1.8765879945866204</v>
      </c>
      <c r="L158" s="60">
        <v>1237.2314447668944</v>
      </c>
      <c r="M158" s="60">
        <v>0.85</v>
      </c>
      <c r="N158" s="60">
        <v>22.98</v>
      </c>
      <c r="O158" s="60">
        <v>16.341471386083605</v>
      </c>
      <c r="P158" s="60">
        <v>10.89431425738907</v>
      </c>
      <c r="Q158" s="60">
        <v>10.89431425738907</v>
      </c>
      <c r="R158" s="60">
        <v>1448.943796232746</v>
      </c>
    </row>
    <row r="159" ht="14.25" customHeight="1">
      <c r="A159" s="59" t="s">
        <v>321</v>
      </c>
      <c r="B159" s="18">
        <v>2023.0</v>
      </c>
      <c r="C159" s="60">
        <v>16.8</v>
      </c>
      <c r="D159" s="60">
        <v>113.391175980403</v>
      </c>
      <c r="E159" s="60">
        <v>23.3071641</v>
      </c>
      <c r="F159" s="60">
        <v>73.704646</v>
      </c>
      <c r="G159" s="60">
        <v>6062.066</v>
      </c>
      <c r="H159" s="60">
        <v>495.805</v>
      </c>
      <c r="I159" s="60">
        <v>1.1429</v>
      </c>
      <c r="J159" s="60">
        <v>1.4563619350681032</v>
      </c>
      <c r="K159" s="60">
        <v>0.0</v>
      </c>
      <c r="L159" s="60">
        <v>222.09519509788572</v>
      </c>
      <c r="M159" s="60">
        <v>0.38</v>
      </c>
      <c r="N159" s="60">
        <v>26.52</v>
      </c>
      <c r="O159" s="60">
        <v>1.820452418835129</v>
      </c>
      <c r="P159" s="60">
        <v>0.0</v>
      </c>
      <c r="Q159" s="60">
        <v>1.820452418835129</v>
      </c>
      <c r="R159" s="60">
        <v>233.0179096108965</v>
      </c>
    </row>
    <row r="160" ht="14.25" customHeight="1">
      <c r="A160" s="61" t="s">
        <v>317</v>
      </c>
      <c r="B160" s="18">
        <v>2023.0</v>
      </c>
      <c r="C160" s="60">
        <v>21.099999999999998</v>
      </c>
      <c r="D160" s="60">
        <v>142.074953783843</v>
      </c>
      <c r="E160" s="60">
        <v>34.0244939</v>
      </c>
      <c r="F160" s="60">
        <v>85.8770959</v>
      </c>
      <c r="G160" s="60">
        <v>4460.349</v>
      </c>
      <c r="H160" s="60">
        <v>547.546</v>
      </c>
      <c r="I160" s="60">
        <v>1.0</v>
      </c>
      <c r="J160" s="60">
        <v>1.0529899650056334</v>
      </c>
      <c r="K160" s="60">
        <v>0.0</v>
      </c>
      <c r="L160" s="60">
        <v>294.83719020157736</v>
      </c>
      <c r="M160" s="60">
        <v>0.47</v>
      </c>
      <c r="N160" s="60">
        <v>17.7</v>
      </c>
      <c r="O160" s="60">
        <v>1.754983275009389</v>
      </c>
      <c r="P160" s="60">
        <v>5.264949825028167</v>
      </c>
      <c r="Q160" s="60">
        <v>15.7948494750845</v>
      </c>
      <c r="R160" s="60">
        <v>575.6345142030797</v>
      </c>
    </row>
    <row r="161" ht="14.25" customHeight="1">
      <c r="A161" s="59" t="s">
        <v>322</v>
      </c>
      <c r="B161" s="18">
        <v>2023.0</v>
      </c>
      <c r="C161" s="60">
        <v>19.6</v>
      </c>
      <c r="D161" s="60">
        <v>85.4074244909502</v>
      </c>
      <c r="E161" s="60">
        <v>31.076804</v>
      </c>
      <c r="F161" s="60">
        <v>79.3313219</v>
      </c>
      <c r="G161" s="60">
        <v>5060.803</v>
      </c>
      <c r="H161" s="60">
        <v>927.404</v>
      </c>
      <c r="I161" s="60">
        <v>0.75</v>
      </c>
      <c r="J161" s="60">
        <v>0.5320450748587421</v>
      </c>
      <c r="K161" s="60">
        <v>0.0</v>
      </c>
      <c r="L161" s="60">
        <v>111.72946572033584</v>
      </c>
      <c r="M161" s="60">
        <v>0.0</v>
      </c>
      <c r="N161" s="60">
        <v>0.0</v>
      </c>
      <c r="O161" s="60">
        <v>0.0</v>
      </c>
      <c r="P161" s="60">
        <v>5.320450748587421</v>
      </c>
      <c r="Q161" s="60">
        <v>47.884056737286784</v>
      </c>
      <c r="R161" s="60">
        <v>579.9291315960288</v>
      </c>
    </row>
    <row r="162" ht="14.25" customHeight="1">
      <c r="A162" s="63" t="s">
        <v>329</v>
      </c>
      <c r="B162" s="64">
        <v>2024.0</v>
      </c>
      <c r="C162" s="60">
        <v>9.700000000000001</v>
      </c>
      <c r="D162" s="60">
        <v>20.8759231168831</v>
      </c>
      <c r="E162" s="60">
        <v>18.3</v>
      </c>
      <c r="F162" s="60">
        <v>78.1</v>
      </c>
      <c r="G162" s="60">
        <v>476.815</v>
      </c>
      <c r="H162" s="60">
        <v>226.487</v>
      </c>
      <c r="I162" s="60">
        <v>0.125</v>
      </c>
      <c r="J162" s="60">
        <v>0.0</v>
      </c>
      <c r="K162" s="60">
        <v>0.0</v>
      </c>
      <c r="L162" s="60">
        <v>81.82385369894959</v>
      </c>
      <c r="M162" s="60">
        <v>0.0</v>
      </c>
      <c r="N162" s="60">
        <v>0.0</v>
      </c>
      <c r="O162" s="60">
        <v>10.061070699143801</v>
      </c>
      <c r="P162" s="60">
        <v>0.0</v>
      </c>
      <c r="Q162" s="60">
        <v>0.0</v>
      </c>
      <c r="R162" s="60">
        <v>362.1985451691769</v>
      </c>
    </row>
    <row r="163" ht="14.25" customHeight="1">
      <c r="A163" s="59" t="s">
        <v>306</v>
      </c>
      <c r="B163" s="18">
        <v>2024.0</v>
      </c>
      <c r="C163" s="60">
        <v>28.999999999999996</v>
      </c>
      <c r="D163" s="60">
        <v>130.074707800512</v>
      </c>
      <c r="E163" s="60">
        <v>39.2</v>
      </c>
      <c r="F163" s="60">
        <v>81.6</v>
      </c>
      <c r="G163" s="60">
        <v>14854.263</v>
      </c>
      <c r="H163" s="60">
        <v>1540.583</v>
      </c>
      <c r="I163" s="60">
        <v>0.95</v>
      </c>
      <c r="J163" s="60">
        <v>3.2664047010096455</v>
      </c>
      <c r="K163" s="60">
        <v>0.0</v>
      </c>
      <c r="L163" s="60">
        <v>614.0840837898133</v>
      </c>
      <c r="M163" s="60">
        <v>0.82</v>
      </c>
      <c r="N163" s="60">
        <v>32.28</v>
      </c>
      <c r="O163" s="60">
        <v>25.983643296544827</v>
      </c>
      <c r="P163" s="60">
        <v>28.7626594063765</v>
      </c>
      <c r="Q163" s="60">
        <v>38.97546494481724</v>
      </c>
      <c r="R163" s="60">
        <v>2111.171017844267</v>
      </c>
    </row>
    <row r="164" ht="14.25" customHeight="1">
      <c r="A164" s="61" t="s">
        <v>320</v>
      </c>
      <c r="B164" s="18">
        <v>2024.0</v>
      </c>
      <c r="C164" s="60">
        <v>19.5</v>
      </c>
      <c r="D164" s="60">
        <v>90.9121703469384</v>
      </c>
      <c r="E164" s="60">
        <v>36.0</v>
      </c>
      <c r="F164" s="60">
        <v>81.3</v>
      </c>
      <c r="G164" s="60">
        <v>7321.376</v>
      </c>
      <c r="H164" s="60">
        <v>1164.778</v>
      </c>
      <c r="I164" s="60">
        <v>1.925</v>
      </c>
      <c r="J164" s="60">
        <v>6.97251062423675</v>
      </c>
      <c r="K164" s="60">
        <v>1.111559664733395</v>
      </c>
      <c r="L164" s="60">
        <v>682.093430631856</v>
      </c>
      <c r="M164" s="60">
        <v>1.22</v>
      </c>
      <c r="N164" s="60">
        <v>22.51</v>
      </c>
      <c r="O164" s="60">
        <v>12.002610567798495</v>
      </c>
      <c r="P164" s="60">
        <v>7.001522831215789</v>
      </c>
      <c r="Q164" s="60">
        <v>9.001957925848872</v>
      </c>
      <c r="R164" s="60">
        <v>1535.333935130891</v>
      </c>
    </row>
    <row r="165" ht="14.25" customHeight="1">
      <c r="A165" s="59" t="s">
        <v>305</v>
      </c>
      <c r="B165" s="18">
        <v>2024.0</v>
      </c>
      <c r="C165" s="60">
        <v>28.499999999999996</v>
      </c>
      <c r="D165" s="60">
        <v>147.572656503346</v>
      </c>
      <c r="E165" s="60">
        <v>58.7</v>
      </c>
      <c r="F165" s="60">
        <v>85.9</v>
      </c>
      <c r="G165" s="60">
        <v>25362.671</v>
      </c>
      <c r="H165" s="60">
        <v>2681.504</v>
      </c>
      <c r="I165" s="60">
        <v>2.4496</v>
      </c>
      <c r="J165" s="60">
        <v>8.66216978970487</v>
      </c>
      <c r="K165" s="60">
        <v>1.6384456053840595</v>
      </c>
      <c r="L165" s="60">
        <v>835.9882926075875</v>
      </c>
      <c r="M165" s="60">
        <v>1.49</v>
      </c>
      <c r="N165" s="60">
        <v>26.14</v>
      </c>
      <c r="O165" s="60">
        <v>29.59297892663736</v>
      </c>
      <c r="P165" s="60">
        <v>15.808215238588334</v>
      </c>
      <c r="Q165" s="60">
        <v>22.637364221658494</v>
      </c>
      <c r="R165" s="60">
        <v>3572.909575364781</v>
      </c>
    </row>
    <row r="166" ht="14.25" customHeight="1">
      <c r="A166" s="61" t="s">
        <v>310</v>
      </c>
      <c r="B166" s="18">
        <v>2024.0</v>
      </c>
      <c r="C166" s="60">
        <v>25.1</v>
      </c>
      <c r="D166" s="60">
        <v>127.275</v>
      </c>
      <c r="E166" s="60">
        <v>43.0</v>
      </c>
      <c r="F166" s="60">
        <v>87.1</v>
      </c>
      <c r="G166" s="60">
        <v>10278.645</v>
      </c>
      <c r="H166" s="60">
        <v>1315.659</v>
      </c>
      <c r="I166" s="60">
        <v>1.6579</v>
      </c>
      <c r="J166" s="60">
        <v>8.054166957511585</v>
      </c>
      <c r="K166" s="60">
        <v>0.5369444638341057</v>
      </c>
      <c r="L166" s="60">
        <v>823.0591567057077</v>
      </c>
      <c r="M166" s="60">
        <v>0.82</v>
      </c>
      <c r="N166" s="60">
        <v>24.17</v>
      </c>
      <c r="O166" s="60">
        <v>39.50791373902896</v>
      </c>
      <c r="P166" s="60">
        <v>7.59767571904403</v>
      </c>
      <c r="Q166" s="60">
        <v>18.994189297610077</v>
      </c>
      <c r="R166" s="60">
        <v>1713.2758746444288</v>
      </c>
    </row>
    <row r="167" ht="14.25" customHeight="1">
      <c r="A167" s="59" t="s">
        <v>311</v>
      </c>
      <c r="B167" s="18">
        <v>2024.0</v>
      </c>
      <c r="C167" s="60">
        <v>23.599999999999998</v>
      </c>
      <c r="D167" s="60">
        <v>113.46790101904</v>
      </c>
      <c r="E167" s="60">
        <v>43.5</v>
      </c>
      <c r="F167" s="60">
        <v>86.1</v>
      </c>
      <c r="G167" s="60">
        <v>6785.676</v>
      </c>
      <c r="H167" s="60">
        <v>812.694</v>
      </c>
      <c r="I167" s="60">
        <v>1.8036</v>
      </c>
      <c r="J167" s="60">
        <v>6.877143603564541</v>
      </c>
      <c r="K167" s="60">
        <v>0.6290070369113909</v>
      </c>
      <c r="L167" s="60">
        <v>612.2335159270872</v>
      </c>
      <c r="M167" s="60">
        <v>1.18</v>
      </c>
      <c r="N167" s="60">
        <v>26.95</v>
      </c>
      <c r="O167" s="60">
        <v>13.393066409519792</v>
      </c>
      <c r="P167" s="60">
        <v>13.811599734817284</v>
      </c>
      <c r="Q167" s="60">
        <v>22.182266240767152</v>
      </c>
      <c r="R167" s="60">
        <v>2432.5156866290317</v>
      </c>
    </row>
    <row r="168" ht="14.25" customHeight="1">
      <c r="A168" s="61" t="s">
        <v>318</v>
      </c>
      <c r="B168" s="18">
        <v>2024.0</v>
      </c>
      <c r="C168" s="60">
        <v>18.5</v>
      </c>
      <c r="D168" s="60">
        <v>92.8191598213643</v>
      </c>
      <c r="E168" s="60">
        <v>26.3</v>
      </c>
      <c r="F168" s="60">
        <v>74.8</v>
      </c>
      <c r="G168" s="60">
        <v>6006.236</v>
      </c>
      <c r="H168" s="60">
        <v>978.152</v>
      </c>
      <c r="I168" s="60">
        <v>1.3421</v>
      </c>
      <c r="J168" s="60">
        <v>4.697153429161654</v>
      </c>
      <c r="K168" s="60">
        <v>0.2875808221935706</v>
      </c>
      <c r="L168" s="60">
        <v>535.8589320206866</v>
      </c>
      <c r="M168" s="60">
        <v>0.0</v>
      </c>
      <c r="N168" s="60">
        <v>35.66</v>
      </c>
      <c r="O168" s="60">
        <v>8.555011097750508</v>
      </c>
      <c r="P168" s="60">
        <v>0.0</v>
      </c>
      <c r="Q168" s="60">
        <v>12.357238252306288</v>
      </c>
      <c r="R168" s="60">
        <v>865.9572344500791</v>
      </c>
    </row>
    <row r="169" ht="14.25" customHeight="1">
      <c r="A169" s="59" t="s">
        <v>324</v>
      </c>
      <c r="B169" s="18">
        <v>2024.0</v>
      </c>
      <c r="C169" s="60">
        <v>15.1</v>
      </c>
      <c r="D169" s="60">
        <v>97.991449185477</v>
      </c>
      <c r="E169" s="60">
        <v>30.5</v>
      </c>
      <c r="F169" s="60">
        <v>78.7</v>
      </c>
      <c r="G169" s="60">
        <v>6706.035</v>
      </c>
      <c r="H169" s="60">
        <v>787.104</v>
      </c>
      <c r="I169" s="60">
        <v>1.1923</v>
      </c>
      <c r="J169" s="60">
        <v>2.3929536130728013</v>
      </c>
      <c r="K169" s="60">
        <v>0.47859072261456026</v>
      </c>
      <c r="L169" s="60">
        <v>294.8118851305691</v>
      </c>
      <c r="M169" s="60">
        <v>0.82</v>
      </c>
      <c r="N169" s="60">
        <v>28.57</v>
      </c>
      <c r="O169" s="60">
        <v>5.685807939093625</v>
      </c>
      <c r="P169" s="60">
        <v>0.0</v>
      </c>
      <c r="Q169" s="60">
        <v>6.63344259560923</v>
      </c>
      <c r="R169" s="60">
        <v>671.8729714695635</v>
      </c>
    </row>
    <row r="170" ht="14.25" customHeight="1">
      <c r="A170" s="61" t="s">
        <v>327</v>
      </c>
      <c r="B170" s="18">
        <v>2024.0</v>
      </c>
      <c r="C170" s="60">
        <v>13.600000000000001</v>
      </c>
      <c r="D170" s="60">
        <v>88.2903655482421</v>
      </c>
      <c r="E170" s="60">
        <v>24.9</v>
      </c>
      <c r="F170" s="60">
        <v>74.7</v>
      </c>
      <c r="G170" s="60">
        <v>6706.034</v>
      </c>
      <c r="H170" s="60">
        <v>871.141</v>
      </c>
      <c r="I170" s="60">
        <v>1.625</v>
      </c>
      <c r="J170" s="60">
        <v>2.8307761988337203</v>
      </c>
      <c r="K170" s="60">
        <v>0.0</v>
      </c>
      <c r="L170" s="60">
        <v>368.0009058483836</v>
      </c>
      <c r="M170" s="60">
        <v>0.58</v>
      </c>
      <c r="N170" s="60">
        <v>13.21</v>
      </c>
      <c r="O170" s="60">
        <v>5.619682375552134</v>
      </c>
      <c r="P170" s="60">
        <v>0.0</v>
      </c>
      <c r="Q170" s="60">
        <v>0.0</v>
      </c>
      <c r="R170" s="60">
        <v>258.50538927539816</v>
      </c>
    </row>
    <row r="171" ht="14.25" customHeight="1">
      <c r="A171" s="59" t="s">
        <v>313</v>
      </c>
      <c r="B171" s="18">
        <v>2024.0</v>
      </c>
      <c r="C171" s="60">
        <v>28.7</v>
      </c>
      <c r="D171" s="60">
        <v>95.8954010051933</v>
      </c>
      <c r="E171" s="60">
        <v>35.3</v>
      </c>
      <c r="F171" s="60">
        <v>81.5</v>
      </c>
      <c r="G171" s="60">
        <v>9355.862</v>
      </c>
      <c r="H171" s="60">
        <v>1622.291</v>
      </c>
      <c r="I171" s="60">
        <v>1.3333</v>
      </c>
      <c r="J171" s="60">
        <v>3.705453501190377</v>
      </c>
      <c r="K171" s="60">
        <v>0.0</v>
      </c>
      <c r="L171" s="60">
        <v>516.9107634160575</v>
      </c>
      <c r="M171" s="60">
        <v>1.11</v>
      </c>
      <c r="N171" s="60">
        <v>24.6</v>
      </c>
      <c r="O171" s="60">
        <v>3.689723750382809</v>
      </c>
      <c r="P171" s="60">
        <v>5.534585625574213</v>
      </c>
      <c r="Q171" s="60">
        <v>70.10475125727336</v>
      </c>
      <c r="R171" s="60">
        <v>1667.7551351730297</v>
      </c>
    </row>
    <row r="172" ht="14.25" customHeight="1">
      <c r="A172" s="61" t="s">
        <v>334</v>
      </c>
      <c r="B172" s="18">
        <v>2024.0</v>
      </c>
      <c r="C172" s="60">
        <v>1.0999999999999999</v>
      </c>
      <c r="D172" s="60">
        <v>2.8133578680203</v>
      </c>
      <c r="E172" s="60">
        <v>19.8</v>
      </c>
      <c r="F172" s="60">
        <v>68.3</v>
      </c>
      <c r="G172" s="60">
        <v>1938.37</v>
      </c>
      <c r="H172" s="60">
        <v>223.658</v>
      </c>
      <c r="I172" s="60">
        <v>1.75</v>
      </c>
      <c r="J172" s="60">
        <v>0.0</v>
      </c>
      <c r="K172" s="60">
        <v>0.0</v>
      </c>
      <c r="L172" s="60">
        <v>0.0</v>
      </c>
      <c r="M172" s="60">
        <v>0.0</v>
      </c>
      <c r="N172" s="60">
        <v>0.0</v>
      </c>
      <c r="O172" s="60">
        <v>0.0</v>
      </c>
      <c r="P172" s="60">
        <v>27.0160745643658</v>
      </c>
      <c r="Q172" s="60">
        <v>0.0</v>
      </c>
      <c r="R172" s="60">
        <v>297.17682020802374</v>
      </c>
    </row>
    <row r="173" ht="14.25" customHeight="1">
      <c r="A173" s="59" t="s">
        <v>335</v>
      </c>
      <c r="B173" s="18">
        <v>2024.0</v>
      </c>
      <c r="C173" s="60">
        <v>1.0999999999999999</v>
      </c>
      <c r="D173" s="60">
        <v>4.31806158833063</v>
      </c>
      <c r="E173" s="60">
        <v>23.1</v>
      </c>
      <c r="F173" s="60">
        <v>49.6</v>
      </c>
      <c r="G173" s="60">
        <v>1093.808</v>
      </c>
      <c r="H173" s="60">
        <v>18.539</v>
      </c>
      <c r="I173" s="60">
        <v>0.75</v>
      </c>
      <c r="J173" s="60">
        <v>7.518655664367211</v>
      </c>
      <c r="K173" s="60">
        <v>0.0</v>
      </c>
      <c r="L173" s="60">
        <v>413.5260615401966</v>
      </c>
      <c r="M173" s="60">
        <v>0.91</v>
      </c>
      <c r="N173" s="60">
        <v>70.58</v>
      </c>
      <c r="O173" s="60">
        <v>0.0</v>
      </c>
      <c r="P173" s="60">
        <v>0.0</v>
      </c>
      <c r="Q173" s="60">
        <v>0.0</v>
      </c>
      <c r="R173" s="60">
        <v>92.40436148586214</v>
      </c>
    </row>
    <row r="174" ht="14.25" customHeight="1">
      <c r="A174" s="61" t="s">
        <v>315</v>
      </c>
      <c r="B174" s="18">
        <v>2024.0</v>
      </c>
      <c r="C174" s="60">
        <v>22.3</v>
      </c>
      <c r="D174" s="60">
        <v>149.487566575023</v>
      </c>
      <c r="E174" s="60">
        <v>46.2</v>
      </c>
      <c r="F174" s="60">
        <v>81.7</v>
      </c>
      <c r="G174" s="60">
        <v>11178.846</v>
      </c>
      <c r="H174" s="60">
        <v>2180.903</v>
      </c>
      <c r="I174" s="60">
        <v>2.2</v>
      </c>
      <c r="J174" s="60">
        <v>16.923727835685987</v>
      </c>
      <c r="K174" s="60">
        <v>1.730835801376976</v>
      </c>
      <c r="L174" s="60">
        <v>1132.73587445671</v>
      </c>
      <c r="M174" s="60">
        <v>0.77</v>
      </c>
      <c r="N174" s="60">
        <v>34.27</v>
      </c>
      <c r="O174" s="60">
        <v>24.85208231774343</v>
      </c>
      <c r="P174" s="60">
        <v>7.646794559305672</v>
      </c>
      <c r="Q174" s="60">
        <v>36.322274156701944</v>
      </c>
      <c r="R174" s="60">
        <v>1984.343188139822</v>
      </c>
    </row>
    <row r="175" ht="14.25" customHeight="1">
      <c r="A175" s="59" t="s">
        <v>307</v>
      </c>
      <c r="B175" s="18">
        <v>2024.0</v>
      </c>
      <c r="C175" s="60">
        <v>29.4</v>
      </c>
      <c r="D175" s="60">
        <v>170.685005751391</v>
      </c>
      <c r="E175" s="60">
        <v>41.0</v>
      </c>
      <c r="F175" s="60">
        <v>83.7</v>
      </c>
      <c r="G175" s="60">
        <v>10522.956</v>
      </c>
      <c r="H175" s="60">
        <v>1528.543</v>
      </c>
      <c r="I175" s="60">
        <v>2.3733</v>
      </c>
      <c r="J175" s="60">
        <v>9.464743223219521</v>
      </c>
      <c r="K175" s="60">
        <v>1.0462312560371194</v>
      </c>
      <c r="L175" s="60">
        <v>831.6321937522962</v>
      </c>
      <c r="M175" s="60">
        <v>1.08</v>
      </c>
      <c r="N175" s="60">
        <v>26.83</v>
      </c>
      <c r="O175" s="60">
        <v>21.46363674072988</v>
      </c>
      <c r="P175" s="60">
        <v>7.9584271061133265</v>
      </c>
      <c r="Q175" s="60">
        <v>33.763024086541385</v>
      </c>
      <c r="R175" s="60">
        <v>4198.673209619183</v>
      </c>
    </row>
    <row r="176" ht="14.25" customHeight="1">
      <c r="A176" s="61" t="s">
        <v>336</v>
      </c>
      <c r="B176" s="18">
        <v>2024.0</v>
      </c>
      <c r="C176" s="60">
        <v>0.2</v>
      </c>
      <c r="D176" s="60">
        <v>5.8814406779661</v>
      </c>
      <c r="E176" s="60">
        <v>28.2</v>
      </c>
      <c r="F176" s="60">
        <v>66.4</v>
      </c>
      <c r="G176" s="60">
        <v>0.0</v>
      </c>
      <c r="H176" s="60">
        <v>0.0</v>
      </c>
      <c r="I176" s="60">
        <v>0.0</v>
      </c>
      <c r="J176" s="60">
        <v>0.0</v>
      </c>
      <c r="K176" s="60">
        <v>0.0</v>
      </c>
      <c r="L176" s="60">
        <v>30.150450749238704</v>
      </c>
      <c r="M176" s="60">
        <v>0.0</v>
      </c>
      <c r="N176" s="60">
        <v>0.0</v>
      </c>
      <c r="O176" s="60">
        <v>0.0</v>
      </c>
      <c r="P176" s="60">
        <v>0.0</v>
      </c>
      <c r="Q176" s="60">
        <v>0.0</v>
      </c>
      <c r="R176" s="60">
        <v>29.379792578664397</v>
      </c>
    </row>
    <row r="177" ht="14.25" customHeight="1">
      <c r="A177" s="59" t="s">
        <v>331</v>
      </c>
      <c r="B177" s="18">
        <v>2024.0</v>
      </c>
      <c r="C177" s="60">
        <v>8.5</v>
      </c>
      <c r="D177" s="60">
        <v>56.2858892375854</v>
      </c>
      <c r="E177" s="60">
        <v>25.5</v>
      </c>
      <c r="F177" s="60">
        <v>71.6</v>
      </c>
      <c r="G177" s="60">
        <v>4256.495</v>
      </c>
      <c r="H177" s="60">
        <v>386.954</v>
      </c>
      <c r="I177" s="60">
        <v>0.2857</v>
      </c>
      <c r="J177" s="60">
        <v>0.0</v>
      </c>
      <c r="K177" s="60">
        <v>0.0</v>
      </c>
      <c r="L177" s="60">
        <v>15.883100381194408</v>
      </c>
      <c r="M177" s="60">
        <v>1.0</v>
      </c>
      <c r="N177" s="60">
        <v>0.0</v>
      </c>
      <c r="O177" s="60">
        <v>0.0</v>
      </c>
      <c r="P177" s="60">
        <v>0.0</v>
      </c>
      <c r="Q177" s="60">
        <v>0.0</v>
      </c>
      <c r="R177" s="60">
        <v>597.1181193921966</v>
      </c>
    </row>
    <row r="178" ht="14.25" customHeight="1">
      <c r="A178" s="61" t="s">
        <v>328</v>
      </c>
      <c r="B178" s="18">
        <v>2024.0</v>
      </c>
      <c r="C178" s="60">
        <v>13.0</v>
      </c>
      <c r="D178" s="60">
        <v>90.5498259050873</v>
      </c>
      <c r="E178" s="60">
        <v>24.9</v>
      </c>
      <c r="F178" s="60">
        <v>77.0</v>
      </c>
      <c r="G178" s="60">
        <v>7763.586</v>
      </c>
      <c r="H178" s="60">
        <v>1188.443</v>
      </c>
      <c r="I178" s="60">
        <v>0.8696</v>
      </c>
      <c r="J178" s="60">
        <v>5.2062444081078585</v>
      </c>
      <c r="K178" s="60">
        <v>0.1928238669669577</v>
      </c>
      <c r="L178" s="60">
        <v>576.5433622312036</v>
      </c>
      <c r="M178" s="60">
        <v>0.86</v>
      </c>
      <c r="N178" s="60">
        <v>37.98</v>
      </c>
      <c r="O178" s="60">
        <v>1.9114976584153685</v>
      </c>
      <c r="P178" s="60">
        <v>1.9114976584153685</v>
      </c>
      <c r="Q178" s="60">
        <v>0.0</v>
      </c>
      <c r="R178" s="60">
        <v>389.94552231673515</v>
      </c>
    </row>
    <row r="179" ht="14.25" customHeight="1">
      <c r="A179" s="59" t="s">
        <v>312</v>
      </c>
      <c r="B179" s="18">
        <v>2024.0</v>
      </c>
      <c r="C179" s="62">
        <v>24.6</v>
      </c>
      <c r="D179" s="62">
        <v>96.2757006348153</v>
      </c>
      <c r="E179" s="62">
        <v>36.8</v>
      </c>
      <c r="F179" s="62">
        <v>81.5</v>
      </c>
      <c r="G179" s="62">
        <v>9639.458</v>
      </c>
      <c r="H179" s="62">
        <v>1418.047</v>
      </c>
      <c r="I179" s="62">
        <v>0.875</v>
      </c>
      <c r="J179" s="62">
        <v>3.1943778949049673</v>
      </c>
      <c r="K179" s="62">
        <v>0.0</v>
      </c>
      <c r="L179" s="62">
        <v>519.0864079220572</v>
      </c>
      <c r="M179" s="62">
        <v>1.03</v>
      </c>
      <c r="N179" s="62">
        <v>32.59</v>
      </c>
      <c r="O179" s="62">
        <v>13.157236874998356</v>
      </c>
      <c r="P179" s="62">
        <v>10.525789499998686</v>
      </c>
      <c r="Q179" s="62">
        <v>2.6314473749996714</v>
      </c>
      <c r="R179" s="62">
        <v>836.8002652498953</v>
      </c>
    </row>
    <row r="180" ht="14.25" customHeight="1">
      <c r="A180" s="61" t="s">
        <v>314</v>
      </c>
      <c r="B180" s="18">
        <v>2024.0</v>
      </c>
      <c r="C180" s="62">
        <v>20.5</v>
      </c>
      <c r="D180" s="62">
        <v>108.583266553561</v>
      </c>
      <c r="E180" s="62">
        <v>34.0</v>
      </c>
      <c r="F180" s="62">
        <v>77.8</v>
      </c>
      <c r="G180" s="62">
        <v>10772.29</v>
      </c>
      <c r="H180" s="62">
        <v>1465.031</v>
      </c>
      <c r="I180" s="62">
        <v>0.9655</v>
      </c>
      <c r="J180" s="62">
        <v>2.693714828655249</v>
      </c>
      <c r="K180" s="62">
        <v>0.7346494987241587</v>
      </c>
      <c r="L180" s="62">
        <v>666.0822121765706</v>
      </c>
      <c r="M180" s="62">
        <v>0.5</v>
      </c>
      <c r="N180" s="62">
        <v>28.26</v>
      </c>
      <c r="O180" s="62">
        <v>9.736268818382076</v>
      </c>
      <c r="P180" s="62">
        <v>7.302201613786557</v>
      </c>
      <c r="Q180" s="62">
        <v>12.170336022977594</v>
      </c>
      <c r="R180" s="62">
        <v>985.7972178611851</v>
      </c>
    </row>
    <row r="181" ht="14.25" customHeight="1">
      <c r="A181" s="59" t="s">
        <v>309</v>
      </c>
      <c r="B181" s="18">
        <v>2024.0</v>
      </c>
      <c r="C181" s="60">
        <v>26.3</v>
      </c>
      <c r="D181" s="60">
        <v>153.998519269699</v>
      </c>
      <c r="E181" s="60">
        <v>43.9</v>
      </c>
      <c r="F181" s="60">
        <v>82.9</v>
      </c>
      <c r="G181" s="60">
        <v>13699.017</v>
      </c>
      <c r="H181" s="60">
        <v>2133.265</v>
      </c>
      <c r="I181" s="60">
        <v>1.3125</v>
      </c>
      <c r="J181" s="60">
        <v>6.537897330494796</v>
      </c>
      <c r="K181" s="60">
        <v>0.40861858315592475</v>
      </c>
      <c r="L181" s="60">
        <v>547.5489014289392</v>
      </c>
      <c r="M181" s="60">
        <v>0.89</v>
      </c>
      <c r="N181" s="60">
        <v>25.51</v>
      </c>
      <c r="O181" s="60">
        <v>17.667940570484213</v>
      </c>
      <c r="P181" s="60">
        <v>6.795361757878542</v>
      </c>
      <c r="Q181" s="60">
        <v>36.69495349254413</v>
      </c>
      <c r="R181" s="60">
        <v>2113.3575067002266</v>
      </c>
    </row>
    <row r="182" ht="14.25" customHeight="1">
      <c r="A182" s="61" t="s">
        <v>316</v>
      </c>
      <c r="B182" s="18">
        <v>2024.0</v>
      </c>
      <c r="C182" s="60">
        <v>20.200000000000003</v>
      </c>
      <c r="D182" s="60">
        <v>126.101515917499</v>
      </c>
      <c r="E182" s="60">
        <v>38.9</v>
      </c>
      <c r="F182" s="60">
        <v>79.5</v>
      </c>
      <c r="G182" s="60">
        <v>17743.368</v>
      </c>
      <c r="H182" s="60">
        <v>1926.864</v>
      </c>
      <c r="I182" s="60">
        <v>1.4286</v>
      </c>
      <c r="J182" s="60">
        <v>8.039877793857533</v>
      </c>
      <c r="K182" s="60">
        <v>0.2977732516243531</v>
      </c>
      <c r="L182" s="60">
        <v>970.7408002953911</v>
      </c>
      <c r="M182" s="60">
        <v>1.06</v>
      </c>
      <c r="N182" s="60">
        <v>25.75</v>
      </c>
      <c r="O182" s="60">
        <v>17.675443506336645</v>
      </c>
      <c r="P182" s="60">
        <v>14.729536255280538</v>
      </c>
      <c r="Q182" s="60">
        <v>8.837721753168323</v>
      </c>
      <c r="R182" s="60">
        <v>989.8248363548522</v>
      </c>
    </row>
    <row r="183" ht="14.25" customHeight="1">
      <c r="A183" s="59" t="s">
        <v>333</v>
      </c>
      <c r="B183" s="18">
        <v>2024.0</v>
      </c>
      <c r="C183" s="60">
        <v>3.0</v>
      </c>
      <c r="D183" s="60">
        <v>4.96174776119403</v>
      </c>
      <c r="E183" s="60">
        <v>10.9</v>
      </c>
      <c r="F183" s="60">
        <v>51.1</v>
      </c>
      <c r="G183" s="60">
        <v>2498.864</v>
      </c>
      <c r="H183" s="60">
        <v>136.302</v>
      </c>
      <c r="I183" s="60">
        <v>1.2</v>
      </c>
      <c r="J183" s="60">
        <v>0.0</v>
      </c>
      <c r="K183" s="60">
        <v>0.0</v>
      </c>
      <c r="L183" s="60">
        <v>0.0</v>
      </c>
      <c r="M183" s="60">
        <v>0.0</v>
      </c>
      <c r="N183" s="60">
        <v>0.0</v>
      </c>
      <c r="O183" s="60">
        <v>0.0</v>
      </c>
      <c r="P183" s="60">
        <v>0.0</v>
      </c>
      <c r="Q183" s="60">
        <v>0.0</v>
      </c>
      <c r="R183" s="60">
        <v>135.02565487442612</v>
      </c>
    </row>
    <row r="184" ht="14.25" customHeight="1">
      <c r="A184" s="61" t="s">
        <v>325</v>
      </c>
      <c r="B184" s="18">
        <v>2024.0</v>
      </c>
      <c r="C184" s="60">
        <v>10.4</v>
      </c>
      <c r="D184" s="60">
        <v>11.8281384157881</v>
      </c>
      <c r="E184" s="60">
        <v>23.5</v>
      </c>
      <c r="F184" s="60">
        <v>66.2</v>
      </c>
      <c r="G184" s="60">
        <v>6196.364</v>
      </c>
      <c r="H184" s="60">
        <v>385.455</v>
      </c>
      <c r="I184" s="60">
        <v>1.1</v>
      </c>
      <c r="J184" s="60">
        <v>1.4312294260770002</v>
      </c>
      <c r="K184" s="60">
        <v>0.0</v>
      </c>
      <c r="L184" s="60">
        <v>350.651209388865</v>
      </c>
      <c r="M184" s="60">
        <v>0.0</v>
      </c>
      <c r="N184" s="60">
        <v>36.0</v>
      </c>
      <c r="O184" s="60">
        <v>0.0</v>
      </c>
      <c r="P184" s="60">
        <v>0.0</v>
      </c>
      <c r="Q184" s="60">
        <v>7.033140156417037</v>
      </c>
      <c r="R184" s="60">
        <v>267.25932594384744</v>
      </c>
    </row>
    <row r="185" ht="14.25" customHeight="1">
      <c r="A185" s="59" t="s">
        <v>326</v>
      </c>
      <c r="B185" s="18">
        <v>2024.0</v>
      </c>
      <c r="C185" s="60">
        <v>12.7</v>
      </c>
      <c r="D185" s="60">
        <v>135.029764614075</v>
      </c>
      <c r="E185" s="60">
        <v>17.8</v>
      </c>
      <c r="F185" s="60">
        <v>71.2</v>
      </c>
      <c r="G185" s="60">
        <v>5384.54</v>
      </c>
      <c r="H185" s="60">
        <v>688.948</v>
      </c>
      <c r="I185" s="60">
        <v>1.5556</v>
      </c>
      <c r="J185" s="60">
        <v>3.6744611173117643</v>
      </c>
      <c r="K185" s="60">
        <v>0.0</v>
      </c>
      <c r="L185" s="60">
        <v>560.3553203900441</v>
      </c>
      <c r="M185" s="60">
        <v>0.54</v>
      </c>
      <c r="N185" s="60">
        <v>38.19</v>
      </c>
      <c r="O185" s="60">
        <v>8.987107993583205</v>
      </c>
      <c r="P185" s="60">
        <v>8.987107993583205</v>
      </c>
      <c r="Q185" s="60">
        <v>4.4935539967916025</v>
      </c>
      <c r="R185" s="60">
        <v>354.9907657465366</v>
      </c>
    </row>
    <row r="186" ht="14.25" customHeight="1">
      <c r="A186" s="61" t="s">
        <v>330</v>
      </c>
      <c r="B186" s="18">
        <v>2024.0</v>
      </c>
      <c r="C186" s="60">
        <v>19.400000000000002</v>
      </c>
      <c r="D186" s="60">
        <v>148.046713251495</v>
      </c>
      <c r="E186" s="60">
        <v>25.0</v>
      </c>
      <c r="F186" s="60">
        <v>68.8</v>
      </c>
      <c r="G186" s="60">
        <v>937.744</v>
      </c>
      <c r="H186" s="60">
        <v>26.048</v>
      </c>
      <c r="I186" s="60">
        <v>0.2</v>
      </c>
      <c r="J186" s="60">
        <v>1.7756312369047198</v>
      </c>
      <c r="K186" s="60">
        <v>0.0</v>
      </c>
      <c r="L186" s="60">
        <v>106.53787421428318</v>
      </c>
      <c r="M186" s="60">
        <v>0.0</v>
      </c>
      <c r="N186" s="60">
        <v>0.0</v>
      </c>
      <c r="O186" s="60">
        <v>17.751584328901355</v>
      </c>
      <c r="P186" s="60">
        <v>0.0</v>
      </c>
      <c r="Q186" s="60">
        <v>0.0</v>
      </c>
      <c r="R186" s="60">
        <v>1011.8403067473772</v>
      </c>
    </row>
    <row r="187" ht="14.25" customHeight="1">
      <c r="A187" s="59" t="s">
        <v>332</v>
      </c>
      <c r="B187" s="18">
        <v>2024.0</v>
      </c>
      <c r="C187" s="60">
        <v>1.5</v>
      </c>
      <c r="D187" s="60">
        <v>22.9018694232862</v>
      </c>
      <c r="E187" s="60">
        <v>29.5</v>
      </c>
      <c r="F187" s="60">
        <v>78.8</v>
      </c>
      <c r="G187" s="60">
        <v>2899.039</v>
      </c>
      <c r="H187" s="60">
        <v>353.952</v>
      </c>
      <c r="I187" s="60">
        <v>1.8</v>
      </c>
      <c r="J187" s="60">
        <v>0.0</v>
      </c>
      <c r="K187" s="60">
        <v>0.0</v>
      </c>
      <c r="L187" s="60">
        <v>33.58240282092184</v>
      </c>
      <c r="M187" s="60">
        <v>0.0</v>
      </c>
      <c r="N187" s="60">
        <v>0.0</v>
      </c>
      <c r="O187" s="60">
        <v>0.0</v>
      </c>
      <c r="P187" s="60">
        <v>0.0</v>
      </c>
      <c r="Q187" s="60">
        <v>0.0</v>
      </c>
      <c r="R187" s="60">
        <v>162.8584922560787</v>
      </c>
    </row>
    <row r="188" ht="14.25" customHeight="1">
      <c r="A188" s="61" t="s">
        <v>319</v>
      </c>
      <c r="B188" s="18">
        <v>2024.0</v>
      </c>
      <c r="C188" s="60">
        <v>19.0</v>
      </c>
      <c r="D188" s="60">
        <v>97.502049672918</v>
      </c>
      <c r="E188" s="60">
        <v>23.3</v>
      </c>
      <c r="F188" s="60">
        <v>77.3</v>
      </c>
      <c r="G188" s="60">
        <v>5625.165</v>
      </c>
      <c r="H188" s="60">
        <v>737.161</v>
      </c>
      <c r="I188" s="60">
        <v>1.4</v>
      </c>
      <c r="J188" s="60">
        <v>6.566922411811705</v>
      </c>
      <c r="K188" s="60">
        <v>0.91207255719607</v>
      </c>
      <c r="L188" s="60">
        <v>490.69503577148566</v>
      </c>
      <c r="M188" s="60">
        <v>0.77</v>
      </c>
      <c r="N188" s="60">
        <v>34.62</v>
      </c>
      <c r="O188" s="60">
        <v>1.8017044123741057</v>
      </c>
      <c r="P188" s="60">
        <v>3.6034088247482114</v>
      </c>
      <c r="Q188" s="60">
        <v>10.810226474244637</v>
      </c>
      <c r="R188" s="60">
        <v>897.2487973623048</v>
      </c>
    </row>
    <row r="189" ht="14.25" customHeight="1">
      <c r="A189" s="59" t="s">
        <v>323</v>
      </c>
      <c r="B189" s="18">
        <v>2024.0</v>
      </c>
      <c r="C189" s="60">
        <v>13.4</v>
      </c>
      <c r="D189" s="60">
        <v>109.800336158532</v>
      </c>
      <c r="E189" s="60">
        <v>25.1</v>
      </c>
      <c r="F189" s="60">
        <v>76.1</v>
      </c>
      <c r="G189" s="60">
        <v>5896.226</v>
      </c>
      <c r="H189" s="60">
        <v>819.856</v>
      </c>
      <c r="I189" s="60">
        <v>1.3333</v>
      </c>
      <c r="J189" s="60">
        <v>3.592798724883071</v>
      </c>
      <c r="K189" s="60">
        <v>0.0</v>
      </c>
      <c r="L189" s="60">
        <v>525.8550860965222</v>
      </c>
      <c r="M189" s="60">
        <v>0.63</v>
      </c>
      <c r="N189" s="60">
        <v>32.37</v>
      </c>
      <c r="O189" s="60">
        <v>0.0</v>
      </c>
      <c r="P189" s="60">
        <v>6.442136727909913</v>
      </c>
      <c r="Q189" s="60">
        <v>3.2210683639549567</v>
      </c>
      <c r="R189" s="60">
        <v>425.1810240420543</v>
      </c>
    </row>
    <row r="190" ht="14.25" customHeight="1">
      <c r="A190" s="61" t="s">
        <v>308</v>
      </c>
      <c r="B190" s="18">
        <v>2024.0</v>
      </c>
      <c r="C190" s="60">
        <v>26.5</v>
      </c>
      <c r="D190" s="60">
        <v>114.581594619874</v>
      </c>
      <c r="E190" s="60">
        <v>44.3</v>
      </c>
      <c r="F190" s="60">
        <v>76.6</v>
      </c>
      <c r="G190" s="60">
        <v>22574.234</v>
      </c>
      <c r="H190" s="60">
        <v>2836.837</v>
      </c>
      <c r="I190" s="60">
        <v>2.4667</v>
      </c>
      <c r="J190" s="60">
        <v>17.975618524691964</v>
      </c>
      <c r="K190" s="60">
        <v>1.8765879945866204</v>
      </c>
      <c r="L190" s="60">
        <v>1237.2314447668944</v>
      </c>
      <c r="M190" s="60">
        <v>0.85</v>
      </c>
      <c r="N190" s="60">
        <v>26.1</v>
      </c>
      <c r="O190" s="60">
        <v>5.391736624449369</v>
      </c>
      <c r="P190" s="60">
        <v>5.391736624449369</v>
      </c>
      <c r="Q190" s="60">
        <v>16.17520987334811</v>
      </c>
      <c r="R190" s="60">
        <v>1466.5523618502282</v>
      </c>
    </row>
    <row r="191" ht="14.25" customHeight="1">
      <c r="A191" s="59" t="s">
        <v>321</v>
      </c>
      <c r="B191" s="18">
        <v>2024.0</v>
      </c>
      <c r="C191" s="60">
        <v>16.3</v>
      </c>
      <c r="D191" s="60">
        <v>99.417677306662</v>
      </c>
      <c r="E191" s="60">
        <v>24.2</v>
      </c>
      <c r="F191" s="60">
        <v>79.6</v>
      </c>
      <c r="G191" s="60">
        <v>6232.097</v>
      </c>
      <c r="H191" s="60">
        <v>714.115</v>
      </c>
      <c r="I191" s="60">
        <v>0.9375</v>
      </c>
      <c r="J191" s="60">
        <v>1.4563619350681032</v>
      </c>
      <c r="K191" s="60">
        <v>0.0</v>
      </c>
      <c r="L191" s="60">
        <v>222.09519509788572</v>
      </c>
      <c r="M191" s="60">
        <v>0.38</v>
      </c>
      <c r="N191" s="60">
        <v>44.93</v>
      </c>
      <c r="O191" s="60">
        <v>1.789107199725193</v>
      </c>
      <c r="P191" s="60">
        <v>0.0</v>
      </c>
      <c r="Q191" s="60">
        <v>3.578214399450386</v>
      </c>
      <c r="R191" s="60">
        <v>372.13429754284016</v>
      </c>
    </row>
    <row r="192" ht="14.25" customHeight="1">
      <c r="A192" s="61" t="s">
        <v>317</v>
      </c>
      <c r="B192" s="18">
        <v>2024.0</v>
      </c>
      <c r="C192" s="60">
        <v>20.1</v>
      </c>
      <c r="D192" s="60">
        <v>102.293511701109</v>
      </c>
      <c r="E192" s="60">
        <v>37.5</v>
      </c>
      <c r="F192" s="60">
        <v>89.4</v>
      </c>
      <c r="G192" s="60">
        <v>4922.115</v>
      </c>
      <c r="H192" s="60">
        <v>524.724</v>
      </c>
      <c r="I192" s="60">
        <v>0.9</v>
      </c>
      <c r="J192" s="60">
        <v>1.0529899650056334</v>
      </c>
      <c r="K192" s="60">
        <v>0.0</v>
      </c>
      <c r="L192" s="60">
        <v>294.83719020157736</v>
      </c>
      <c r="M192" s="60">
        <v>0.47</v>
      </c>
      <c r="N192" s="60">
        <v>19.19</v>
      </c>
      <c r="O192" s="60">
        <v>1.7304780445598096</v>
      </c>
      <c r="P192" s="60">
        <v>1.7304780445598096</v>
      </c>
      <c r="Q192" s="60">
        <v>27.687648712956953</v>
      </c>
      <c r="R192" s="60">
        <v>725.0703006705603</v>
      </c>
    </row>
    <row r="193" ht="14.25" customHeight="1">
      <c r="A193" s="59" t="s">
        <v>322</v>
      </c>
      <c r="B193" s="18">
        <v>2024.0</v>
      </c>
      <c r="C193" s="60">
        <v>20.3</v>
      </c>
      <c r="D193" s="60">
        <v>113.296257817337</v>
      </c>
      <c r="E193" s="60">
        <v>27.5</v>
      </c>
      <c r="F193" s="60">
        <v>83.0</v>
      </c>
      <c r="G193" s="60">
        <v>5910.632</v>
      </c>
      <c r="H193" s="60">
        <v>998.459</v>
      </c>
      <c r="I193" s="60">
        <v>0.7222</v>
      </c>
      <c r="J193" s="60">
        <v>0.5320450748587421</v>
      </c>
      <c r="K193" s="60">
        <v>0.0</v>
      </c>
      <c r="L193" s="60">
        <v>111.72946572033584</v>
      </c>
      <c r="M193" s="60">
        <v>0.0</v>
      </c>
      <c r="N193" s="60">
        <v>0.0</v>
      </c>
      <c r="O193" s="60">
        <v>0.0</v>
      </c>
      <c r="P193" s="60">
        <v>5.231958897730899</v>
      </c>
      <c r="Q193" s="60">
        <v>57.551547875039894</v>
      </c>
      <c r="R193" s="60">
        <v>690.6185745004788</v>
      </c>
    </row>
    <row r="194" ht="14.2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</row>
    <row r="195" ht="14.2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</row>
    <row r="196" ht="14.2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</row>
    <row r="197" ht="14.2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ht="14.2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</row>
    <row r="199" ht="14.2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</row>
    <row r="200" ht="14.2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</row>
    <row r="201" ht="14.2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ht="14.2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</row>
    <row r="203" ht="14.2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</row>
    <row r="204" ht="14.2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</row>
    <row r="205" ht="14.2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ht="14.2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</row>
    <row r="207" ht="14.2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</row>
    <row r="208" ht="14.2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</row>
    <row r="209" ht="14.2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ht="14.2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</row>
    <row r="211" ht="14.2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</row>
    <row r="212" ht="14.2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</row>
    <row r="213" ht="14.2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ht="14.2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</row>
    <row r="215" ht="14.2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</row>
    <row r="216" ht="14.2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</row>
    <row r="217" ht="14.2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ht="14.2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</row>
    <row r="219" ht="14.2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</row>
    <row r="220" ht="14.2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</row>
    <row r="221" ht="14.2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ht="14.2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</row>
    <row r="223" ht="14.2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</row>
    <row r="224" ht="14.2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</row>
    <row r="225" ht="14.2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ht="14.2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</row>
    <row r="227" ht="14.2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</row>
    <row r="228" ht="14.2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</row>
    <row r="229" ht="14.2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ht="14.2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</row>
    <row r="231" ht="14.2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</row>
    <row r="232" ht="14.2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</row>
    <row r="233" ht="14.2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ht="14.2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</row>
    <row r="235" ht="14.2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</row>
    <row r="236" ht="14.2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</row>
    <row r="237" ht="14.2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ht="14.2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</row>
    <row r="239" ht="14.2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</row>
    <row r="240" ht="14.2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</row>
    <row r="241" ht="14.2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ht="14.2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</row>
    <row r="243" ht="14.2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</row>
    <row r="244" ht="14.2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</row>
    <row r="245" ht="14.2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ht="14.2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</row>
    <row r="247" ht="14.2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</row>
    <row r="248" ht="14.2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</row>
    <row r="249" ht="14.2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ht="14.2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</row>
    <row r="251" ht="14.2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</row>
    <row r="252" ht="14.2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</row>
    <row r="253" ht="14.2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ht="14.2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</row>
    <row r="255" ht="14.2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</row>
    <row r="256" ht="14.2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</row>
    <row r="257" ht="14.2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ht="14.2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</row>
    <row r="259" ht="14.2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</row>
    <row r="260" ht="14.2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</row>
    <row r="261" ht="14.2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ht="14.2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</row>
    <row r="263" ht="14.2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</row>
    <row r="264" ht="14.2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</row>
    <row r="265" ht="14.2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ht="14.2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</row>
    <row r="267" ht="14.2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</row>
    <row r="268" ht="14.2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</row>
    <row r="269" ht="14.2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ht="14.2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</row>
    <row r="271" ht="14.2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</row>
    <row r="272" ht="14.2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</row>
    <row r="273" ht="14.2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ht="14.2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</row>
    <row r="275" ht="14.2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</row>
    <row r="276" ht="14.2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</row>
    <row r="277" ht="14.2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ht="14.2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</row>
    <row r="279" ht="14.2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</row>
    <row r="280" ht="14.2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</row>
    <row r="281" ht="14.2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ht="14.2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</row>
    <row r="283" ht="14.2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</row>
    <row r="284" ht="14.2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</row>
    <row r="285" ht="14.2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ht="14.2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</row>
    <row r="287" ht="14.2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</row>
    <row r="288" ht="14.2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</row>
    <row r="289" ht="14.2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ht="14.2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</row>
    <row r="291" ht="14.2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</row>
    <row r="292" ht="14.2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</row>
    <row r="293" ht="14.2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ht="14.2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</row>
    <row r="295" ht="14.2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</row>
    <row r="296" ht="14.2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</row>
    <row r="297" ht="14.2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ht="14.2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</row>
    <row r="299" ht="14.2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</row>
    <row r="300" ht="14.2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</row>
    <row r="301" ht="14.2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ht="14.2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</row>
    <row r="303" ht="14.2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</row>
    <row r="304" ht="14.2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</row>
    <row r="305" ht="14.2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ht="14.2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</row>
    <row r="307" ht="14.2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</row>
    <row r="308" ht="14.2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</row>
    <row r="309" ht="14.2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ht="14.2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</row>
    <row r="311" ht="14.2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</row>
    <row r="312" ht="14.2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</row>
    <row r="313" ht="14.2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ht="14.2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</row>
    <row r="315" ht="14.2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</row>
    <row r="316" ht="14.2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</row>
    <row r="317" ht="14.2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ht="14.2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</row>
    <row r="319" ht="14.2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</row>
    <row r="320" ht="14.2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</row>
    <row r="321" ht="14.2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ht="14.2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</row>
    <row r="323" ht="14.2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</row>
    <row r="324" ht="14.2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</row>
    <row r="325" ht="14.2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ht="14.2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</row>
    <row r="327" ht="14.2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</row>
    <row r="328" ht="14.2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</row>
    <row r="329" ht="14.2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ht="14.2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</row>
    <row r="331" ht="14.2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</row>
    <row r="332" ht="14.2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</row>
    <row r="333" ht="14.2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ht="14.2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</row>
    <row r="335" ht="14.2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</row>
    <row r="336" ht="14.2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</row>
    <row r="337" ht="14.2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ht="14.2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</row>
    <row r="339" ht="14.2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</row>
    <row r="340" ht="14.2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</row>
    <row r="341" ht="14.2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ht="14.2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</row>
    <row r="343" ht="14.2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</row>
    <row r="344" ht="14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</row>
    <row r="345" ht="14.2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ht="14.2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</row>
    <row r="347" ht="14.2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</row>
    <row r="348" ht="14.2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</row>
    <row r="349" ht="14.2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ht="14.2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</row>
    <row r="351" ht="14.2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</row>
    <row r="352" ht="14.2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</row>
    <row r="353" ht="14.2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ht="14.2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</row>
    <row r="355" ht="14.2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</row>
    <row r="356" ht="14.2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</row>
    <row r="357" ht="14.2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ht="14.2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</row>
    <row r="359" ht="14.2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</row>
    <row r="360" ht="14.2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</row>
    <row r="361" ht="14.2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ht="14.2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</row>
    <row r="363" ht="14.2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</row>
    <row r="364" ht="14.2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</row>
    <row r="365" ht="14.2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ht="14.2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</row>
    <row r="367" ht="14.2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</row>
    <row r="368" ht="14.2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</row>
    <row r="369" ht="14.2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ht="14.2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</row>
    <row r="371" ht="14.2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</row>
    <row r="372" ht="14.2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</row>
    <row r="373" ht="14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ht="14.2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</row>
    <row r="375" ht="14.2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</row>
    <row r="376" ht="14.2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</row>
    <row r="377" ht="14.2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ht="14.2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</row>
    <row r="379" ht="14.2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</row>
    <row r="380" ht="14.2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</row>
    <row r="381" ht="14.2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ht="14.2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</row>
    <row r="383" ht="14.2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</row>
    <row r="384" ht="14.2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</row>
    <row r="385" ht="14.2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ht="14.2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</row>
    <row r="387" ht="14.2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</row>
    <row r="388" ht="14.2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</row>
    <row r="389" ht="14.2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ht="14.2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</row>
    <row r="391" ht="14.2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</row>
    <row r="392" ht="14.2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</row>
    <row r="393" ht="14.2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ht="14.2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</row>
    <row r="395" ht="14.2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</row>
    <row r="396" ht="14.2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</row>
    <row r="397" ht="14.2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ht="14.2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</row>
    <row r="399" ht="14.2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</row>
    <row r="400" ht="14.2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</row>
    <row r="401" ht="14.2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ht="14.2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</row>
    <row r="403" ht="14.2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</row>
    <row r="404" ht="14.2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</row>
    <row r="405" ht="14.2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ht="14.2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</row>
    <row r="407" ht="14.2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</row>
    <row r="408" ht="14.2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</row>
    <row r="409" ht="14.2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ht="14.2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</row>
    <row r="411" ht="14.2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</row>
    <row r="412" ht="14.2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</row>
    <row r="413" ht="14.2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ht="14.2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</row>
    <row r="415" ht="14.2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</row>
    <row r="416" ht="14.2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</row>
    <row r="417" ht="14.2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ht="14.2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</row>
    <row r="419" ht="14.2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</row>
    <row r="420" ht="14.2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</row>
    <row r="421" ht="14.2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ht="14.2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</row>
    <row r="423" ht="14.2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</row>
    <row r="424" ht="14.2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</row>
    <row r="425" ht="14.2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ht="14.2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</row>
    <row r="427" ht="14.2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</row>
    <row r="428" ht="14.2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</row>
    <row r="429" ht="14.2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ht="14.2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</row>
    <row r="431" ht="14.2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</row>
    <row r="432" ht="14.2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</row>
    <row r="433" ht="14.2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ht="14.2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</row>
    <row r="435" ht="14.2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</row>
    <row r="436" ht="14.2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</row>
    <row r="437" ht="14.2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ht="14.2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</row>
    <row r="439" ht="14.2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</row>
    <row r="440" ht="14.2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</row>
    <row r="441" ht="14.2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ht="14.2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</row>
    <row r="443" ht="14.2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</row>
    <row r="444" ht="14.2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</row>
    <row r="445" ht="14.2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ht="14.2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</row>
    <row r="447" ht="14.2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</row>
    <row r="448" ht="14.2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</row>
    <row r="449" ht="14.2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ht="14.2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</row>
    <row r="451" ht="14.2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</row>
    <row r="452" ht="14.2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</row>
    <row r="453" ht="14.2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</row>
    <row r="455" ht="14.2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</row>
    <row r="456" ht="14.2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</row>
    <row r="457" ht="14.2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ht="14.2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</row>
    <row r="459" ht="14.2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</row>
    <row r="460" ht="14.2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</row>
    <row r="461" ht="14.2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ht="14.2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</row>
    <row r="463" ht="14.2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</row>
    <row r="464" ht="14.2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</row>
    <row r="465" ht="14.2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ht="14.2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</row>
    <row r="467" ht="14.2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</row>
    <row r="468" ht="14.2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</row>
    <row r="469" ht="14.2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ht="14.2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</row>
    <row r="471" ht="14.2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</row>
    <row r="472" ht="14.2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</row>
    <row r="473" ht="14.2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ht="14.2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</row>
    <row r="475" ht="14.2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</row>
    <row r="476" ht="14.2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</row>
    <row r="477" ht="14.2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ht="14.2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</row>
    <row r="479" ht="14.2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</row>
    <row r="480" ht="14.2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</row>
    <row r="481" ht="14.2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ht="14.2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</row>
    <row r="483" ht="14.2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</row>
    <row r="484" ht="14.2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</row>
    <row r="485" ht="14.2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ht="14.2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</row>
    <row r="487" ht="14.2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</row>
    <row r="488" ht="14.2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</row>
    <row r="489" ht="14.2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ht="14.2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</row>
    <row r="491" ht="14.2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</row>
    <row r="492" ht="14.2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</row>
    <row r="493" ht="14.2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ht="14.2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</row>
    <row r="495" ht="14.2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</row>
    <row r="496" ht="14.2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</row>
    <row r="497" ht="14.2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ht="14.2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</row>
    <row r="499" ht="14.2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</row>
    <row r="500" ht="14.2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</row>
    <row r="501" ht="14.2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ht="14.2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</row>
    <row r="503" ht="14.2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</row>
    <row r="504" ht="14.2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</row>
    <row r="505" ht="14.2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ht="14.2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</row>
    <row r="507" ht="14.2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</row>
    <row r="508" ht="14.2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</row>
    <row r="509" ht="14.2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ht="14.2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</row>
    <row r="511" ht="14.2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</row>
    <row r="512" ht="14.2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</row>
    <row r="513" ht="14.2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ht="14.2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</row>
    <row r="515" ht="14.2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</row>
    <row r="516" ht="14.2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</row>
    <row r="517" ht="14.2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ht="14.2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</row>
    <row r="519" ht="14.2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</row>
    <row r="520" ht="14.2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</row>
    <row r="521" ht="14.2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ht="14.2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</row>
    <row r="523" ht="14.2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</row>
    <row r="524" ht="14.2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</row>
    <row r="525" ht="14.2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ht="14.2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</row>
    <row r="527" ht="14.2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</row>
    <row r="528" ht="14.2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</row>
    <row r="529" ht="14.2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ht="14.2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</row>
    <row r="531" ht="14.2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</row>
    <row r="532" ht="14.2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</row>
    <row r="533" ht="14.2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ht="14.2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</row>
    <row r="535" ht="14.2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</row>
    <row r="536" ht="14.2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</row>
    <row r="537" ht="14.2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ht="14.2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</row>
    <row r="539" ht="14.2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</row>
    <row r="540" ht="14.2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</row>
    <row r="541" ht="14.2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ht="14.2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</row>
    <row r="543" ht="14.2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</row>
    <row r="544" ht="14.2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</row>
    <row r="545" ht="14.2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ht="14.2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</row>
    <row r="547" ht="14.2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</row>
    <row r="548" ht="14.2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</row>
    <row r="549" ht="14.2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ht="14.2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</row>
    <row r="551" ht="14.2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</row>
    <row r="552" ht="14.2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</row>
    <row r="553" ht="14.2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ht="14.2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</row>
    <row r="555" ht="14.2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</row>
    <row r="556" ht="14.2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</row>
    <row r="557" ht="14.2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ht="14.2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</row>
    <row r="559" ht="14.2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</row>
    <row r="560" ht="14.2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</row>
    <row r="561" ht="14.2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ht="14.2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</row>
    <row r="563" ht="14.2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</row>
    <row r="564" ht="14.2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</row>
    <row r="565" ht="14.2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ht="14.2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</row>
    <row r="568" ht="14.2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</row>
    <row r="569" ht="14.2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ht="14.2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</row>
    <row r="571" ht="14.2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</row>
    <row r="572" ht="14.2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</row>
    <row r="573" ht="14.2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ht="14.2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</row>
    <row r="575" ht="14.2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</row>
    <row r="576" ht="14.2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</row>
    <row r="577" ht="14.2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ht="14.2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</row>
    <row r="579" ht="14.2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</row>
    <row r="580" ht="14.2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</row>
    <row r="581" ht="14.2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ht="14.2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</row>
    <row r="583" ht="14.2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</row>
    <row r="584" ht="14.2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</row>
    <row r="585" ht="14.2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ht="14.2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</row>
    <row r="587" ht="14.2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</row>
    <row r="588" ht="14.2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</row>
    <row r="589" ht="14.2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ht="14.2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</row>
    <row r="591" ht="14.2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</row>
    <row r="592" ht="14.2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</row>
    <row r="593" ht="14.2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ht="14.2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</row>
    <row r="595" ht="14.2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</row>
    <row r="596" ht="14.2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</row>
    <row r="597" ht="14.2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ht="14.2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</row>
    <row r="599" ht="14.2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</row>
    <row r="600" ht="14.2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</row>
    <row r="601" ht="14.2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ht="14.2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</row>
    <row r="603" ht="14.2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</row>
    <row r="604" ht="14.2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</row>
    <row r="605" ht="14.2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ht="14.2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</row>
    <row r="607" ht="14.2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</row>
    <row r="608" ht="14.2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</row>
    <row r="609" ht="14.2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ht="14.2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</row>
    <row r="611" ht="14.2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</row>
    <row r="612" ht="14.2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</row>
    <row r="613" ht="14.2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ht="14.2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</row>
    <row r="615" ht="14.2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</row>
    <row r="616" ht="14.2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</row>
    <row r="617" ht="14.2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ht="14.2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</row>
    <row r="619" ht="14.2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</row>
    <row r="620" ht="14.2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</row>
    <row r="621" ht="14.2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ht="14.2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</row>
    <row r="623" ht="14.2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</row>
    <row r="624" ht="14.2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</row>
    <row r="625" ht="14.2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ht="14.2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</row>
    <row r="627" ht="14.2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</row>
    <row r="628" ht="14.2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</row>
    <row r="629" ht="14.2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ht="14.2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</row>
    <row r="631" ht="14.2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</row>
    <row r="632" ht="14.2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</row>
    <row r="633" ht="14.2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ht="14.2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</row>
    <row r="635" ht="14.2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</row>
    <row r="636" ht="14.2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</row>
    <row r="637" ht="14.2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ht="14.2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</row>
    <row r="639" ht="14.2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</row>
    <row r="640" ht="14.2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</row>
    <row r="641" ht="14.2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ht="14.2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</row>
    <row r="643" ht="14.2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</row>
    <row r="644" ht="14.2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</row>
    <row r="645" ht="14.2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ht="14.2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</row>
    <row r="647" ht="14.2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</row>
    <row r="648" ht="14.2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</row>
    <row r="649" ht="14.2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ht="14.2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</row>
    <row r="651" ht="14.2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</row>
    <row r="652" ht="14.2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</row>
    <row r="653" ht="14.2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ht="14.2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</row>
    <row r="655" ht="14.2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</row>
    <row r="656" ht="14.2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</row>
    <row r="657" ht="14.2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ht="14.2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</row>
    <row r="659" ht="14.2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</row>
    <row r="660" ht="14.2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</row>
    <row r="661" ht="14.2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ht="14.2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</row>
    <row r="663" ht="14.2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</row>
    <row r="664" ht="14.2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</row>
    <row r="665" ht="14.2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ht="14.2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</row>
    <row r="667" ht="14.2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</row>
    <row r="668" ht="14.2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</row>
    <row r="669" ht="14.2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ht="14.2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</row>
    <row r="671" ht="14.2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</row>
    <row r="672" ht="14.2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</row>
    <row r="673" ht="14.2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ht="14.2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</row>
    <row r="675" ht="14.2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</row>
    <row r="676" ht="14.2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</row>
    <row r="677" ht="14.2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ht="14.2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</row>
    <row r="679" ht="14.2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</row>
    <row r="681" ht="14.2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ht="14.2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</row>
    <row r="683" ht="14.2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</row>
    <row r="684" ht="14.2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</row>
    <row r="685" ht="14.2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ht="14.2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</row>
    <row r="687" ht="14.2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</row>
    <row r="688" ht="14.2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</row>
    <row r="689" ht="14.2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ht="14.2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</row>
    <row r="691" ht="14.2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</row>
    <row r="692" ht="14.2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</row>
    <row r="693" ht="14.2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ht="14.2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</row>
    <row r="695" ht="14.2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</row>
    <row r="696" ht="14.2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</row>
    <row r="697" ht="14.2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ht="14.2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</row>
    <row r="699" ht="14.2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</row>
    <row r="700" ht="14.2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</row>
    <row r="701" ht="14.2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ht="14.2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</row>
    <row r="703" ht="14.2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</row>
    <row r="704" ht="14.2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</row>
    <row r="705" ht="14.2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ht="14.2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</row>
    <row r="707" ht="14.2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</row>
    <row r="708" ht="14.2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</row>
    <row r="709" ht="14.2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ht="14.2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</row>
    <row r="711" ht="14.2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</row>
    <row r="712" ht="14.2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</row>
    <row r="713" ht="14.2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ht="14.2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</row>
    <row r="715" ht="14.2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</row>
    <row r="716" ht="14.2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</row>
    <row r="717" ht="14.2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ht="14.2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</row>
    <row r="719" ht="14.2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</row>
    <row r="720" ht="14.2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</row>
    <row r="721" ht="14.2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ht="14.2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</row>
    <row r="723" ht="14.2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</row>
    <row r="724" ht="14.2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</row>
    <row r="725" ht="14.2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ht="14.2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</row>
    <row r="727" ht="14.2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</row>
    <row r="728" ht="14.2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</row>
    <row r="729" ht="14.2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ht="14.2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</row>
    <row r="731" ht="14.2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</row>
    <row r="732" ht="14.2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</row>
    <row r="733" ht="14.2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ht="14.2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</row>
    <row r="735" ht="14.2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</row>
    <row r="736" ht="14.2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</row>
    <row r="737" ht="14.2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ht="14.2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</row>
    <row r="739" ht="14.2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</row>
    <row r="740" ht="14.2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</row>
    <row r="741" ht="14.2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ht="14.2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</row>
    <row r="743" ht="14.2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</row>
    <row r="744" ht="14.2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</row>
    <row r="745" ht="14.2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ht="14.2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</row>
    <row r="747" ht="14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</row>
    <row r="748" ht="14.2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</row>
    <row r="749" ht="14.2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ht="14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</row>
    <row r="751" ht="14.2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</row>
    <row r="752" ht="14.2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</row>
    <row r="753" ht="14.2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ht="14.2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</row>
    <row r="755" ht="14.2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</row>
    <row r="756" ht="14.2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</row>
    <row r="757" ht="14.2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ht="14.2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</row>
    <row r="759" ht="14.2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</row>
    <row r="760" ht="14.2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</row>
    <row r="761" ht="14.2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ht="14.2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</row>
    <row r="763" ht="14.2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</row>
    <row r="764" ht="14.2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</row>
    <row r="765" ht="14.2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ht="14.2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</row>
    <row r="767" ht="14.2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</row>
    <row r="768" ht="14.2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</row>
    <row r="769" ht="14.2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ht="14.2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</row>
    <row r="771" ht="14.2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</row>
    <row r="772" ht="14.2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</row>
    <row r="773" ht="14.2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ht="14.2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</row>
    <row r="775" ht="14.2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</row>
    <row r="776" ht="14.2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</row>
    <row r="777" ht="14.2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ht="14.2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</row>
    <row r="779" ht="14.2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</row>
    <row r="780" ht="14.2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</row>
    <row r="781" ht="14.2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ht="14.2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</row>
    <row r="783" ht="14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</row>
    <row r="784" ht="14.2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</row>
    <row r="785" ht="14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ht="14.2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</row>
    <row r="787" ht="14.2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</row>
    <row r="788" ht="14.2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</row>
    <row r="789" ht="14.2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ht="14.2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</row>
    <row r="791" ht="14.2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</row>
    <row r="792" ht="14.2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</row>
    <row r="793" ht="14.2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</row>
    <row r="795" ht="14.2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</row>
    <row r="796" ht="14.2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</row>
    <row r="797" ht="14.2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ht="14.2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</row>
    <row r="799" ht="14.2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</row>
    <row r="800" ht="14.2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</row>
    <row r="801" ht="14.2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ht="14.2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</row>
    <row r="803" ht="14.2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</row>
    <row r="804" ht="14.2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</row>
    <row r="805" ht="14.2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ht="14.2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</row>
    <row r="807" ht="14.2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</row>
    <row r="808" ht="14.2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</row>
    <row r="809" ht="14.2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ht="14.2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</row>
    <row r="811" ht="14.2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</row>
    <row r="812" ht="14.2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</row>
    <row r="813" ht="14.2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ht="14.2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</row>
    <row r="815" ht="14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</row>
    <row r="816" ht="14.2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</row>
    <row r="817" ht="14.2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ht="14.2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</row>
    <row r="819" ht="14.2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</row>
    <row r="820" ht="14.2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</row>
    <row r="821" ht="14.2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ht="14.2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</row>
    <row r="823" ht="14.2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</row>
    <row r="824" ht="14.2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</row>
    <row r="825" ht="14.2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ht="14.2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</row>
    <row r="827" ht="14.2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</row>
    <row r="828" ht="14.2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</row>
    <row r="829" ht="14.2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ht="14.2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</row>
    <row r="831" ht="14.2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</row>
    <row r="832" ht="14.2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</row>
    <row r="833" ht="14.2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ht="14.2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</row>
    <row r="835" ht="14.2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</row>
    <row r="836" ht="14.2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</row>
    <row r="837" ht="14.2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ht="14.2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</row>
    <row r="839" ht="14.2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</row>
    <row r="840" ht="14.2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</row>
    <row r="841" ht="14.2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ht="14.2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</row>
    <row r="843" ht="14.2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</row>
    <row r="844" ht="14.2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</row>
    <row r="845" ht="14.2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ht="14.2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</row>
    <row r="847" ht="14.2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</row>
    <row r="848" ht="14.2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</row>
    <row r="849" ht="14.2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ht="14.2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</row>
    <row r="851" ht="14.2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</row>
    <row r="852" ht="14.2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</row>
    <row r="853" ht="14.2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ht="14.2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</row>
    <row r="855" ht="14.2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</row>
    <row r="856" ht="14.2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</row>
    <row r="857" ht="14.2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ht="14.2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</row>
    <row r="859" ht="14.2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</row>
    <row r="860" ht="14.2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</row>
    <row r="861" ht="14.2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ht="14.2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</row>
    <row r="863" ht="14.2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</row>
    <row r="864" ht="14.2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</row>
    <row r="865" ht="14.2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ht="14.2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</row>
    <row r="867" ht="14.2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</row>
    <row r="868" ht="14.2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</row>
    <row r="869" ht="14.2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ht="14.2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</row>
    <row r="871" ht="14.2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</row>
    <row r="872" ht="14.2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</row>
    <row r="873" ht="14.2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ht="14.2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</row>
    <row r="875" ht="14.2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</row>
    <row r="876" ht="14.2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</row>
    <row r="877" ht="14.2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ht="14.2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</row>
    <row r="879" ht="14.2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</row>
    <row r="880" ht="14.2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</row>
    <row r="881" ht="14.2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ht="14.2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</row>
    <row r="883" ht="14.2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</row>
    <row r="884" ht="14.2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</row>
    <row r="885" ht="14.2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ht="14.2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</row>
    <row r="887" ht="14.2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</row>
    <row r="888" ht="14.2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</row>
    <row r="889" ht="14.2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ht="14.2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</row>
    <row r="891" ht="14.2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</row>
    <row r="892" ht="14.2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</row>
    <row r="893" ht="14.2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ht="14.2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</row>
    <row r="895" ht="14.2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</row>
    <row r="896" ht="14.2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</row>
    <row r="897" ht="14.2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ht="14.2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</row>
    <row r="899" ht="14.2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</row>
    <row r="900" ht="14.2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</row>
    <row r="901" ht="14.2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ht="14.2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</row>
    <row r="903" ht="14.2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</row>
    <row r="904" ht="14.2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</row>
    <row r="905" ht="14.2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ht="14.2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</row>
    <row r="907" ht="14.2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</row>
    <row r="909" ht="14.2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ht="14.2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</row>
    <row r="911" ht="14.2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</row>
    <row r="912" ht="14.2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</row>
    <row r="913" ht="14.2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ht="14.2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</row>
    <row r="915" ht="14.2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</row>
    <row r="916" ht="14.2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</row>
    <row r="917" ht="14.2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ht="14.2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</row>
    <row r="919" ht="14.2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</row>
    <row r="920" ht="14.2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</row>
    <row r="921" ht="14.2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ht="14.2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</row>
    <row r="923" ht="14.2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</row>
    <row r="924" ht="14.2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</row>
    <row r="925" ht="14.2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ht="14.2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</row>
    <row r="927" ht="14.2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</row>
    <row r="928" ht="14.2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</row>
    <row r="929" ht="14.2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ht="14.2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</row>
    <row r="931" ht="14.2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</row>
    <row r="932" ht="14.2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</row>
    <row r="933" ht="14.2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ht="14.2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</row>
    <row r="935" ht="14.2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</row>
    <row r="936" ht="14.2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</row>
    <row r="937" ht="14.2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ht="14.2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</row>
    <row r="939" ht="14.2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</row>
    <row r="940" ht="14.2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</row>
    <row r="941" ht="14.2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ht="14.2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</row>
    <row r="943" ht="14.2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</row>
    <row r="944" ht="14.2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</row>
    <row r="945" ht="14.2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ht="14.2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</row>
    <row r="947" ht="14.2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</row>
    <row r="948" ht="14.2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</row>
    <row r="949" ht="14.2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ht="14.2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</row>
    <row r="951" ht="14.2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</row>
    <row r="952" ht="14.2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</row>
    <row r="953" ht="14.2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ht="14.2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</row>
    <row r="955" ht="14.2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</row>
    <row r="956" ht="14.2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</row>
    <row r="957" ht="14.2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ht="14.2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</row>
    <row r="959" ht="14.2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</row>
    <row r="960" ht="14.2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</row>
    <row r="961" ht="14.2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ht="14.2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</row>
    <row r="963" ht="14.2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</row>
    <row r="964" ht="14.2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</row>
    <row r="965" ht="14.2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ht="14.2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</row>
    <row r="967" ht="14.2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</row>
    <row r="968" ht="14.2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</row>
    <row r="969" ht="14.2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ht="14.2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</row>
    <row r="971" ht="14.2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</row>
    <row r="972" ht="14.2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</row>
    <row r="973" ht="14.2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ht="14.2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</row>
    <row r="975" ht="14.2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</row>
    <row r="976" ht="14.2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</row>
    <row r="977" ht="14.2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ht="14.2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</row>
    <row r="979" ht="14.2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</row>
    <row r="980" ht="14.2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</row>
    <row r="981" ht="14.2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ht="14.2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</row>
    <row r="983" ht="14.2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</row>
    <row r="984" ht="14.2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</row>
    <row r="985" ht="14.2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ht="14.2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</row>
    <row r="987" ht="14.2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</row>
    <row r="988" ht="14.2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</row>
    <row r="989" ht="14.2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ht="14.2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</row>
    <row r="991" ht="14.2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</row>
    <row r="992" ht="14.2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</row>
    <row r="993" ht="14.2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ht="14.2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</row>
    <row r="995" ht="14.2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</row>
    <row r="996" ht="14.2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</row>
    <row r="997" ht="14.2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ht="14.2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</row>
    <row r="999" ht="14.2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</row>
    <row r="1000" ht="14.2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5.43"/>
    <col customWidth="1" min="2" max="24" width="11.43"/>
    <col customWidth="1" min="25" max="25" width="14.0"/>
  </cols>
  <sheetData>
    <row r="1" ht="14.25" customHeight="1">
      <c r="A1" s="43" t="s">
        <v>301</v>
      </c>
      <c r="B1" s="65" t="s">
        <v>12</v>
      </c>
      <c r="C1" s="45" t="str">
        <f>Valor_normalizado!C1</f>
        <v>TIC-1-1</v>
      </c>
      <c r="D1" s="45" t="str">
        <f>Valor_normalizado!D1</f>
        <v>TIC-1-2</v>
      </c>
      <c r="E1" s="45" t="str">
        <f>Valor_normalizado!E1</f>
        <v>TIC-1-3</v>
      </c>
      <c r="F1" s="45" t="str">
        <f>Valor_normalizado!F1</f>
        <v>TIC-1-4</v>
      </c>
      <c r="G1" s="45" t="str">
        <f>Valor_normalizado!G1</f>
        <v>TIC-1</v>
      </c>
      <c r="H1" s="45" t="str">
        <f>Valor_normalizado!H1</f>
        <v>TIC-2-1</v>
      </c>
      <c r="I1" s="45" t="str">
        <f>Valor_normalizado!I1</f>
        <v>TIC-2-2</v>
      </c>
      <c r="J1" s="45" t="str">
        <f>Valor_normalizado!J1</f>
        <v>TIC-2-3</v>
      </c>
      <c r="K1" s="45" t="str">
        <f>Valor_normalizado!K1</f>
        <v>TIC-2</v>
      </c>
      <c r="L1" s="45" t="str">
        <f>Valor_normalizado!L1</f>
        <v>TIC</v>
      </c>
      <c r="M1" s="47" t="str">
        <f>Valor_normalizado!M1</f>
        <v>INN-1-1</v>
      </c>
      <c r="N1" s="47" t="str">
        <f>Valor_normalizado!N1</f>
        <v>INN-1-2</v>
      </c>
      <c r="O1" s="47" t="str">
        <f>Valor_normalizado!O1</f>
        <v>INN-1-3</v>
      </c>
      <c r="P1" s="47" t="str">
        <f>Valor_normalizado!P1</f>
        <v>INN-1-4</v>
      </c>
      <c r="Q1" s="47" t="str">
        <f>Valor_normalizado!Q1</f>
        <v>INN-1-5</v>
      </c>
      <c r="R1" s="47" t="str">
        <f>Valor_normalizado!R1</f>
        <v>INN-1</v>
      </c>
      <c r="S1" s="47" t="str">
        <f>Valor_normalizado!S1</f>
        <v>INN-2-1</v>
      </c>
      <c r="T1" s="47" t="str">
        <f>Valor_normalizado!T1</f>
        <v>INN-2-2</v>
      </c>
      <c r="U1" s="47" t="str">
        <f>Valor_normalizado!U1</f>
        <v>INN-2-3</v>
      </c>
      <c r="V1" s="47" t="str">
        <f>Valor_normalizado!V1</f>
        <v>INN-2-4</v>
      </c>
      <c r="W1" s="47" t="str">
        <f>Valor_normalizado!W1</f>
        <v>INN-2</v>
      </c>
      <c r="X1" s="47" t="str">
        <f>Valor_normalizado!X1</f>
        <v>INN</v>
      </c>
      <c r="Y1" s="48" t="str">
        <f>Valor_normalizado!Y1</f>
        <v>Puntaje general</v>
      </c>
    </row>
    <row r="2" ht="14.25" hidden="1" customHeight="1">
      <c r="A2" s="51" t="s">
        <v>329</v>
      </c>
      <c r="B2" s="52">
        <v>2019.0</v>
      </c>
      <c r="C2" s="66">
        <f>IF(Valor_normalizado!C2=0,32,IFERROR(RANK(Valor_normalizado!C2,Valor_normalizado!C$2:C$33,0),"NA"))</f>
        <v>1</v>
      </c>
      <c r="D2" s="66">
        <f>IF(Valor_normalizado!D2=0,32,IFERROR(RANK(Valor_normalizado!D2,Valor_normalizado!D$2:D$33,0),"NA"))</f>
        <v>1</v>
      </c>
      <c r="E2" s="66">
        <f>IF(Valor_normalizado!E2=0,32,IFERROR(RANK(Valor_normalizado!E2,Valor_normalizado!E$2:E$33,0),"NA"))</f>
        <v>1</v>
      </c>
      <c r="F2" s="66">
        <f>IF(Valor_normalizado!F2=0,32,IFERROR(RANK(Valor_normalizado!F2,Valor_normalizado!F$2:F$33,0),"NA"))</f>
        <v>1</v>
      </c>
      <c r="G2" s="66">
        <f>IF(Valor_normalizado!G2=0,32,IFERROR(RANK(Valor_normalizado!G2,Valor_normalizado!G$2:G$33,0),"NA"))</f>
        <v>1</v>
      </c>
      <c r="H2" s="66">
        <f>IF(Valor_normalizado!H2=0,32,IFERROR(RANK(Valor_normalizado!H2,Valor_normalizado!H$2:H$33,0),"NA"))</f>
        <v>6</v>
      </c>
      <c r="I2" s="66">
        <f>IF(Valor_normalizado!I2=0,32,IFERROR(RANK(Valor_normalizado!I2,Valor_normalizado!I$2:I$33,0),"NA"))</f>
        <v>6</v>
      </c>
      <c r="J2" s="66">
        <f>IF(Valor_normalizado!J2=0,32,IFERROR(RANK(Valor_normalizado!J2,Valor_normalizado!J$2:J$33,0),"NA"))</f>
        <v>3</v>
      </c>
      <c r="K2" s="66">
        <f>IF(Valor_normalizado!K2=0,32,IFERROR(RANK(Valor_normalizado!K2,Valor_normalizado!K$2:K$33,0),"NA"))</f>
        <v>4</v>
      </c>
      <c r="L2" s="66">
        <f>IF(Valor_normalizado!L2=0,32,IFERROR(RANK(Valor_normalizado!L2,Valor_normalizado!L$2:L$33,0),"NA"))</f>
        <v>2</v>
      </c>
      <c r="M2" s="66">
        <f>IF(Valor_normalizado!M2=0,32,IFERROR(RANK(Valor_normalizado!M2,Valor_normalizado!M$2:M$33,0),"NA"))</f>
        <v>5</v>
      </c>
      <c r="N2" s="66">
        <f>IF(Valor_normalizado!N2=0,32,IFERROR(RANK(Valor_normalizado!N2,Valor_normalizado!N$2:N$33,0),"NA"))</f>
        <v>3</v>
      </c>
      <c r="O2" s="66">
        <f>IF(Valor_normalizado!O2=0,32,IFERROR(RANK(Valor_normalizado!O2,Valor_normalizado!O$2:O$33,0),"NA"))</f>
        <v>5</v>
      </c>
      <c r="P2" s="66">
        <f>IF(Valor_normalizado!P2=0,32,IFERROR(RANK(Valor_normalizado!P2,Valor_normalizado!P$2:P$33,0),"NA"))</f>
        <v>2</v>
      </c>
      <c r="Q2" s="66">
        <f>IF(Valor_normalizado!Q2=0,32,IFERROR(RANK(Valor_normalizado!Q2,Valor_normalizado!Q$2:Q$33,0),"NA"))</f>
        <v>18</v>
      </c>
      <c r="R2" s="66">
        <f>IF(Valor_normalizado!R2=0,32,IFERROR(RANK(Valor_normalizado!R2,Valor_normalizado!R$2:R$33,0),"NA"))</f>
        <v>3</v>
      </c>
      <c r="S2" s="66">
        <f>IF(Valor_normalizado!S2=0,32,IFERROR(RANK(Valor_normalizado!S2,Valor_normalizado!S$2:S$33,0),"NA"))</f>
        <v>1</v>
      </c>
      <c r="T2" s="66">
        <f>IF(Valor_normalizado!T2=0,32,IFERROR(RANK(Valor_normalizado!T2,Valor_normalizado!T$2:T$33,0),"NA"))</f>
        <v>1</v>
      </c>
      <c r="U2" s="66">
        <f>IF(Valor_normalizado!U2=0,32,IFERROR(RANK(Valor_normalizado!U2,Valor_normalizado!U$2:U$33,0),"NA"))</f>
        <v>2</v>
      </c>
      <c r="V2" s="66">
        <f>IF(Valor_normalizado!V2=0,32,IFERROR(RANK(Valor_normalizado!V2,Valor_normalizado!V$2:V$33,0),"NA"))</f>
        <v>1</v>
      </c>
      <c r="W2" s="66">
        <f>IF(Valor_normalizado!W2=0,32,IFERROR(RANK(Valor_normalizado!W2,Valor_normalizado!W$2:W$33,0),"NA"))</f>
        <v>1</v>
      </c>
      <c r="X2" s="66">
        <f>IF(Valor_normalizado!X2=0,32,IFERROR(RANK(Valor_normalizado!X2,Valor_normalizado!X$2:X$33,0),"NA"))</f>
        <v>1</v>
      </c>
      <c r="Y2" s="66">
        <f>IF(Valor_normalizado!Y2=0,32,IFERROR(RANK(Valor_normalizado!Y2,Valor_normalizado!Y$2:Y$33,0),"NA"))</f>
        <v>1</v>
      </c>
    </row>
    <row r="3" ht="14.25" hidden="1" customHeight="1">
      <c r="A3" s="49" t="s">
        <v>306</v>
      </c>
      <c r="B3" s="4">
        <v>2019.0</v>
      </c>
      <c r="C3" s="66">
        <f>IF(Valor_normalizado!C3=0,32,IFERROR(RANK(Valor_normalizado!C3,Valor_normalizado!C$2:C$33,0),"NA"))</f>
        <v>2</v>
      </c>
      <c r="D3" s="66">
        <f>IF(Valor_normalizado!D3=0,32,IFERROR(RANK(Valor_normalizado!D3,Valor_normalizado!D$2:D$33,0),"NA"))</f>
        <v>12</v>
      </c>
      <c r="E3" s="66">
        <f>IF(Valor_normalizado!E3=0,32,IFERROR(RANK(Valor_normalizado!E3,Valor_normalizado!E$2:E$33,0),"NA"))</f>
        <v>14</v>
      </c>
      <c r="F3" s="66">
        <f>IF(Valor_normalizado!F3=0,32,IFERROR(RANK(Valor_normalizado!F3,Valor_normalizado!F$2:F$33,0),"NA"))</f>
        <v>14</v>
      </c>
      <c r="G3" s="66">
        <f>IF(Valor_normalizado!G3=0,32,IFERROR(RANK(Valor_normalizado!G3,Valor_normalizado!G$2:G$33,0),"NA"))</f>
        <v>8</v>
      </c>
      <c r="H3" s="66">
        <f>IF(Valor_normalizado!H3=0,32,IFERROR(RANK(Valor_normalizado!H3,Valor_normalizado!H$2:H$33,0),"NA"))</f>
        <v>5</v>
      </c>
      <c r="I3" s="66">
        <f>IF(Valor_normalizado!I3=0,32,IFERROR(RANK(Valor_normalizado!I3,Valor_normalizado!I$2:I$33,0),"NA"))</f>
        <v>12</v>
      </c>
      <c r="J3" s="66">
        <f>IF(Valor_normalizado!J3=0,32,IFERROR(RANK(Valor_normalizado!J3,Valor_normalizado!J$2:J$33,0),"NA"))</f>
        <v>21</v>
      </c>
      <c r="K3" s="66">
        <f>IF(Valor_normalizado!K3=0,32,IFERROR(RANK(Valor_normalizado!K3,Valor_normalizado!K$2:K$33,0),"NA"))</f>
        <v>12</v>
      </c>
      <c r="L3" s="66">
        <f>IF(Valor_normalizado!L3=0,32,IFERROR(RANK(Valor_normalizado!L3,Valor_normalizado!L$2:L$33,0),"NA"))</f>
        <v>10</v>
      </c>
      <c r="M3" s="66">
        <f>IF(Valor_normalizado!M3=0,32,IFERROR(RANK(Valor_normalizado!M3,Valor_normalizado!M$2:M$33,0),"NA"))</f>
        <v>15</v>
      </c>
      <c r="N3" s="66">
        <f>IF(Valor_normalizado!N3=0,32,IFERROR(RANK(Valor_normalizado!N3,Valor_normalizado!N$2:N$33,0),"NA"))</f>
        <v>32</v>
      </c>
      <c r="O3" s="66">
        <f>IF(Valor_normalizado!O3=0,32,IFERROR(RANK(Valor_normalizado!O3,Valor_normalizado!O$2:O$33,0),"NA"))</f>
        <v>11</v>
      </c>
      <c r="P3" s="66">
        <f>IF(Valor_normalizado!P3=0,32,IFERROR(RANK(Valor_normalizado!P3,Valor_normalizado!P$2:P$33,0),"NA"))</f>
        <v>6</v>
      </c>
      <c r="Q3" s="66">
        <f>IF(Valor_normalizado!Q3=0,32,IFERROR(RANK(Valor_normalizado!Q3,Valor_normalizado!Q$2:Q$33,0),"NA"))</f>
        <v>8</v>
      </c>
      <c r="R3" s="66">
        <f>IF(Valor_normalizado!R3=0,32,IFERROR(RANK(Valor_normalizado!R3,Valor_normalizado!R$2:R$33,0),"NA"))</f>
        <v>11</v>
      </c>
      <c r="S3" s="66">
        <f>IF(Valor_normalizado!S3=0,32,IFERROR(RANK(Valor_normalizado!S3,Valor_normalizado!S$2:S$33,0),"NA"))</f>
        <v>3</v>
      </c>
      <c r="T3" s="66">
        <f>IF(Valor_normalizado!T3=0,32,IFERROR(RANK(Valor_normalizado!T3,Valor_normalizado!T$2:T$33,0),"NA"))</f>
        <v>3</v>
      </c>
      <c r="U3" s="66">
        <f>IF(Valor_normalizado!U3=0,32,IFERROR(RANK(Valor_normalizado!U3,Valor_normalizado!U$2:U$33,0),"NA"))</f>
        <v>4</v>
      </c>
      <c r="V3" s="66">
        <f>IF(Valor_normalizado!V3=0,32,IFERROR(RANK(Valor_normalizado!V3,Valor_normalizado!V$2:V$33,0),"NA"))</f>
        <v>9</v>
      </c>
      <c r="W3" s="66">
        <f>IF(Valor_normalizado!W3=0,32,IFERROR(RANK(Valor_normalizado!W3,Valor_normalizado!W$2:W$33,0),"NA"))</f>
        <v>6</v>
      </c>
      <c r="X3" s="66">
        <f>IF(Valor_normalizado!X3=0,32,IFERROR(RANK(Valor_normalizado!X3,Valor_normalizado!X$2:X$33,0),"NA"))</f>
        <v>8</v>
      </c>
      <c r="Y3" s="66">
        <f>IF(Valor_normalizado!Y3=0,32,IFERROR(RANK(Valor_normalizado!Y3,Valor_normalizado!Y$2:Y$33,0),"NA"))</f>
        <v>12</v>
      </c>
    </row>
    <row r="4" ht="14.25" hidden="1" customHeight="1">
      <c r="A4" s="51" t="s">
        <v>320</v>
      </c>
      <c r="B4" s="4">
        <v>2019.0</v>
      </c>
      <c r="C4" s="66">
        <f>IF(Valor_normalizado!C4=0,32,IFERROR(RANK(Valor_normalizado!C4,Valor_normalizado!C$2:C$33,0),"NA"))</f>
        <v>3</v>
      </c>
      <c r="D4" s="66">
        <f>IF(Valor_normalizado!D4=0,32,IFERROR(RANK(Valor_normalizado!D4,Valor_normalizado!D$2:D$33,0),"NA"))</f>
        <v>3</v>
      </c>
      <c r="E4" s="66">
        <f>IF(Valor_normalizado!E4=0,32,IFERROR(RANK(Valor_normalizado!E4,Valor_normalizado!E$2:E$33,0),"NA"))</f>
        <v>5</v>
      </c>
      <c r="F4" s="66">
        <f>IF(Valor_normalizado!F4=0,32,IFERROR(RANK(Valor_normalizado!F4,Valor_normalizado!F$2:F$33,0),"NA"))</f>
        <v>8</v>
      </c>
      <c r="G4" s="66">
        <f>IF(Valor_normalizado!G4=0,32,IFERROR(RANK(Valor_normalizado!G4,Valor_normalizado!G$2:G$33,0),"NA"))</f>
        <v>4</v>
      </c>
      <c r="H4" s="66">
        <f>IF(Valor_normalizado!H4=0,32,IFERROR(RANK(Valor_normalizado!H4,Valor_normalizado!H$2:H$33,0),"NA"))</f>
        <v>9</v>
      </c>
      <c r="I4" s="66">
        <f>IF(Valor_normalizado!I4=0,32,IFERROR(RANK(Valor_normalizado!I4,Valor_normalizado!I$2:I$33,0),"NA"))</f>
        <v>10</v>
      </c>
      <c r="J4" s="66">
        <f>IF(Valor_normalizado!J4=0,32,IFERROR(RANK(Valor_normalizado!J4,Valor_normalizado!J$2:J$33,0),"NA"))</f>
        <v>7</v>
      </c>
      <c r="K4" s="66">
        <f>IF(Valor_normalizado!K4=0,32,IFERROR(RANK(Valor_normalizado!K4,Valor_normalizado!K$2:K$33,0),"NA"))</f>
        <v>8</v>
      </c>
      <c r="L4" s="66">
        <f>IF(Valor_normalizado!L4=0,32,IFERROR(RANK(Valor_normalizado!L4,Valor_normalizado!L$2:L$33,0),"NA"))</f>
        <v>8</v>
      </c>
      <c r="M4" s="66">
        <f>IF(Valor_normalizado!M4=0,32,IFERROR(RANK(Valor_normalizado!M4,Valor_normalizado!M$2:M$33,0),"NA"))</f>
        <v>4</v>
      </c>
      <c r="N4" s="66">
        <f>IF(Valor_normalizado!N4=0,32,IFERROR(RANK(Valor_normalizado!N4,Valor_normalizado!N$2:N$33,0),"NA"))</f>
        <v>4</v>
      </c>
      <c r="O4" s="66">
        <f>IF(Valor_normalizado!O4=0,32,IFERROR(RANK(Valor_normalizado!O4,Valor_normalizado!O$2:O$33,0),"NA"))</f>
        <v>3</v>
      </c>
      <c r="P4" s="66">
        <f>IF(Valor_normalizado!P4=0,32,IFERROR(RANK(Valor_normalizado!P4,Valor_normalizado!P$2:P$33,0),"NA"))</f>
        <v>16</v>
      </c>
      <c r="Q4" s="66">
        <f>IF(Valor_normalizado!Q4=0,32,IFERROR(RANK(Valor_normalizado!Q4,Valor_normalizado!Q$2:Q$33,0),"NA"))</f>
        <v>16</v>
      </c>
      <c r="R4" s="66">
        <f>IF(Valor_normalizado!R4=0,32,IFERROR(RANK(Valor_normalizado!R4,Valor_normalizado!R$2:R$33,0),"NA"))</f>
        <v>5</v>
      </c>
      <c r="S4" s="66">
        <f>IF(Valor_normalizado!S4=0,32,IFERROR(RANK(Valor_normalizado!S4,Valor_normalizado!S$2:S$33,0),"NA"))</f>
        <v>2</v>
      </c>
      <c r="T4" s="66">
        <f>IF(Valor_normalizado!T4=0,32,IFERROR(RANK(Valor_normalizado!T4,Valor_normalizado!T$2:T$33,0),"NA"))</f>
        <v>7</v>
      </c>
      <c r="U4" s="66">
        <f>IF(Valor_normalizado!U4=0,32,IFERROR(RANK(Valor_normalizado!U4,Valor_normalizado!U$2:U$33,0),"NA"))</f>
        <v>1</v>
      </c>
      <c r="V4" s="66">
        <f>IF(Valor_normalizado!V4=0,32,IFERROR(RANK(Valor_normalizado!V4,Valor_normalizado!V$2:V$33,0),"NA"))</f>
        <v>2</v>
      </c>
      <c r="W4" s="66">
        <f>IF(Valor_normalizado!W4=0,32,IFERROR(RANK(Valor_normalizado!W4,Valor_normalizado!W$2:W$33,0),"NA"))</f>
        <v>2</v>
      </c>
      <c r="X4" s="66">
        <f>IF(Valor_normalizado!X4=0,32,IFERROR(RANK(Valor_normalizado!X4,Valor_normalizado!X$2:X$33,0),"NA"))</f>
        <v>2</v>
      </c>
      <c r="Y4" s="66">
        <f>IF(Valor_normalizado!Y4=0,32,IFERROR(RANK(Valor_normalizado!Y4,Valor_normalizado!Y$2:Y$33,0),"NA"))</f>
        <v>2</v>
      </c>
    </row>
    <row r="5" ht="14.25" hidden="1" customHeight="1">
      <c r="A5" s="49" t="s">
        <v>305</v>
      </c>
      <c r="B5" s="4">
        <v>2019.0</v>
      </c>
      <c r="C5" s="66">
        <f>IF(Valor_normalizado!C5=0,32,IFERROR(RANK(Valor_normalizado!C5,Valor_normalizado!C$2:C$33,0),"NA"))</f>
        <v>4</v>
      </c>
      <c r="D5" s="66">
        <f>IF(Valor_normalizado!D5=0,32,IFERROR(RANK(Valor_normalizado!D5,Valor_normalizado!D$2:D$33,0),"NA"))</f>
        <v>17</v>
      </c>
      <c r="E5" s="66">
        <f>IF(Valor_normalizado!E5=0,32,IFERROR(RANK(Valor_normalizado!E5,Valor_normalizado!E$2:E$33,0),"NA"))</f>
        <v>7</v>
      </c>
      <c r="F5" s="66">
        <f>IF(Valor_normalizado!F5=0,32,IFERROR(RANK(Valor_normalizado!F5,Valor_normalizado!F$2:F$33,0),"NA"))</f>
        <v>11</v>
      </c>
      <c r="G5" s="66">
        <f>IF(Valor_normalizado!G5=0,32,IFERROR(RANK(Valor_normalizado!G5,Valor_normalizado!G$2:G$33,0),"NA"))</f>
        <v>6</v>
      </c>
      <c r="H5" s="66">
        <f>IF(Valor_normalizado!H5=0,32,IFERROR(RANK(Valor_normalizado!H5,Valor_normalizado!H$2:H$33,0),"NA"))</f>
        <v>1</v>
      </c>
      <c r="I5" s="66">
        <f>IF(Valor_normalizado!I5=0,32,IFERROR(RANK(Valor_normalizado!I5,Valor_normalizado!I$2:I$33,0),"NA"))</f>
        <v>1</v>
      </c>
      <c r="J5" s="66">
        <f>IF(Valor_normalizado!J5=0,32,IFERROR(RANK(Valor_normalizado!J5,Valor_normalizado!J$2:J$33,0),"NA"))</f>
        <v>2</v>
      </c>
      <c r="K5" s="66">
        <f>IF(Valor_normalizado!K5=0,32,IFERROR(RANK(Valor_normalizado!K5,Valor_normalizado!K$2:K$33,0),"NA"))</f>
        <v>1</v>
      </c>
      <c r="L5" s="66">
        <f>IF(Valor_normalizado!L5=0,32,IFERROR(RANK(Valor_normalizado!L5,Valor_normalizado!L$2:L$33,0),"NA"))</f>
        <v>1</v>
      </c>
      <c r="M5" s="66">
        <f>IF(Valor_normalizado!M5=0,32,IFERROR(RANK(Valor_normalizado!M5,Valor_normalizado!M$2:M$33,0),"NA"))</f>
        <v>2</v>
      </c>
      <c r="N5" s="66">
        <f>IF(Valor_normalizado!N5=0,32,IFERROR(RANK(Valor_normalizado!N5,Valor_normalizado!N$2:N$33,0),"NA"))</f>
        <v>1</v>
      </c>
      <c r="O5" s="66">
        <f>IF(Valor_normalizado!O5=0,32,IFERROR(RANK(Valor_normalizado!O5,Valor_normalizado!O$2:O$33,0),"NA"))</f>
        <v>1</v>
      </c>
      <c r="P5" s="66">
        <f>IF(Valor_normalizado!P5=0,32,IFERROR(RANK(Valor_normalizado!P5,Valor_normalizado!P$2:P$33,0),"NA"))</f>
        <v>16</v>
      </c>
      <c r="Q5" s="66">
        <f>IF(Valor_normalizado!Q5=0,32,IFERROR(RANK(Valor_normalizado!Q5,Valor_normalizado!Q$2:Q$33,0),"NA"))</f>
        <v>19</v>
      </c>
      <c r="R5" s="66">
        <f>IF(Valor_normalizado!R5=0,32,IFERROR(RANK(Valor_normalizado!R5,Valor_normalizado!R$2:R$33,0),"NA"))</f>
        <v>1</v>
      </c>
      <c r="S5" s="66">
        <f>IF(Valor_normalizado!S5=0,32,IFERROR(RANK(Valor_normalizado!S5,Valor_normalizado!S$2:S$33,0),"NA"))</f>
        <v>13</v>
      </c>
      <c r="T5" s="66">
        <f>IF(Valor_normalizado!T5=0,32,IFERROR(RANK(Valor_normalizado!T5,Valor_normalizado!T$2:T$33,0),"NA"))</f>
        <v>4</v>
      </c>
      <c r="U5" s="66">
        <f>IF(Valor_normalizado!U5=0,32,IFERROR(RANK(Valor_normalizado!U5,Valor_normalizado!U$2:U$33,0),"NA"))</f>
        <v>10</v>
      </c>
      <c r="V5" s="66">
        <f>IF(Valor_normalizado!V5=0,32,IFERROR(RANK(Valor_normalizado!V5,Valor_normalizado!V$2:V$33,0),"NA"))</f>
        <v>11</v>
      </c>
      <c r="W5" s="66">
        <f>IF(Valor_normalizado!W5=0,32,IFERROR(RANK(Valor_normalizado!W5,Valor_normalizado!W$2:W$33,0),"NA"))</f>
        <v>8</v>
      </c>
      <c r="X5" s="66">
        <f>IF(Valor_normalizado!X5=0,32,IFERROR(RANK(Valor_normalizado!X5,Valor_normalizado!X$2:X$33,0),"NA"))</f>
        <v>4</v>
      </c>
      <c r="Y5" s="66">
        <f>IF(Valor_normalizado!Y5=0,32,IFERROR(RANK(Valor_normalizado!Y5,Valor_normalizado!Y$2:Y$33,0),"NA"))</f>
        <v>3</v>
      </c>
    </row>
    <row r="6" ht="14.25" hidden="1" customHeight="1">
      <c r="A6" s="51" t="s">
        <v>310</v>
      </c>
      <c r="B6" s="4">
        <v>2019.0</v>
      </c>
      <c r="C6" s="66">
        <f>IF(Valor_normalizado!C6=0,32,IFERROR(RANK(Valor_normalizado!C6,Valor_normalizado!C$2:C$33,0),"NA"))</f>
        <v>5</v>
      </c>
      <c r="D6" s="66">
        <f>IF(Valor_normalizado!D6=0,32,IFERROR(RANK(Valor_normalizado!D6,Valor_normalizado!D$2:D$33,0),"NA"))</f>
        <v>8</v>
      </c>
      <c r="E6" s="66">
        <f>IF(Valor_normalizado!E6=0,32,IFERROR(RANK(Valor_normalizado!E6,Valor_normalizado!E$2:E$33,0),"NA"))</f>
        <v>2</v>
      </c>
      <c r="F6" s="66">
        <f>IF(Valor_normalizado!F6=0,32,IFERROR(RANK(Valor_normalizado!F6,Valor_normalizado!F$2:F$33,0),"NA"))</f>
        <v>2</v>
      </c>
      <c r="G6" s="66">
        <f>IF(Valor_normalizado!G6=0,32,IFERROR(RANK(Valor_normalizado!G6,Valor_normalizado!G$2:G$33,0),"NA"))</f>
        <v>2</v>
      </c>
      <c r="H6" s="66">
        <f>IF(Valor_normalizado!H6=0,32,IFERROR(RANK(Valor_normalizado!H6,Valor_normalizado!H$2:H$33,0),"NA"))</f>
        <v>3</v>
      </c>
      <c r="I6" s="66">
        <f>IF(Valor_normalizado!I6=0,32,IFERROR(RANK(Valor_normalizado!I6,Valor_normalizado!I$2:I$33,0),"NA"))</f>
        <v>5</v>
      </c>
      <c r="J6" s="66">
        <f>IF(Valor_normalizado!J6=0,32,IFERROR(RANK(Valor_normalizado!J6,Valor_normalizado!J$2:J$33,0),"NA"))</f>
        <v>15</v>
      </c>
      <c r="K6" s="66">
        <f>IF(Valor_normalizado!K6=0,32,IFERROR(RANK(Valor_normalizado!K6,Valor_normalizado!K$2:K$33,0),"NA"))</f>
        <v>7</v>
      </c>
      <c r="L6" s="66">
        <f>IF(Valor_normalizado!L6=0,32,IFERROR(RANK(Valor_normalizado!L6,Valor_normalizado!L$2:L$33,0),"NA"))</f>
        <v>4</v>
      </c>
      <c r="M6" s="66">
        <f>IF(Valor_normalizado!M6=0,32,IFERROR(RANK(Valor_normalizado!M6,Valor_normalizado!M$2:M$33,0),"NA"))</f>
        <v>13</v>
      </c>
      <c r="N6" s="66">
        <f>IF(Valor_normalizado!N6=0,32,IFERROR(RANK(Valor_normalizado!N6,Valor_normalizado!N$2:N$33,0),"NA"))</f>
        <v>12</v>
      </c>
      <c r="O6" s="66">
        <f>IF(Valor_normalizado!O6=0,32,IFERROR(RANK(Valor_normalizado!O6,Valor_normalizado!O$2:O$33,0),"NA"))</f>
        <v>19</v>
      </c>
      <c r="P6" s="66">
        <f>IF(Valor_normalizado!P6=0,32,IFERROR(RANK(Valor_normalizado!P6,Valor_normalizado!P$2:P$33,0),"NA"))</f>
        <v>14</v>
      </c>
      <c r="Q6" s="66">
        <f>IF(Valor_normalizado!Q6=0,32,IFERROR(RANK(Valor_normalizado!Q6,Valor_normalizado!Q$2:Q$33,0),"NA"))</f>
        <v>4</v>
      </c>
      <c r="R6" s="66">
        <f>IF(Valor_normalizado!R6=0,32,IFERROR(RANK(Valor_normalizado!R6,Valor_normalizado!R$2:R$33,0),"NA"))</f>
        <v>13</v>
      </c>
      <c r="S6" s="66">
        <f>IF(Valor_normalizado!S6=0,32,IFERROR(RANK(Valor_normalizado!S6,Valor_normalizado!S$2:S$33,0),"NA"))</f>
        <v>4</v>
      </c>
      <c r="T6" s="66">
        <f>IF(Valor_normalizado!T6=0,32,IFERROR(RANK(Valor_normalizado!T6,Valor_normalizado!T$2:T$33,0),"NA"))</f>
        <v>5</v>
      </c>
      <c r="U6" s="66">
        <f>IF(Valor_normalizado!U6=0,32,IFERROR(RANK(Valor_normalizado!U6,Valor_normalizado!U$2:U$33,0),"NA"))</f>
        <v>3</v>
      </c>
      <c r="V6" s="66">
        <f>IF(Valor_normalizado!V6=0,32,IFERROR(RANK(Valor_normalizado!V6,Valor_normalizado!V$2:V$33,0),"NA"))</f>
        <v>6</v>
      </c>
      <c r="W6" s="66">
        <f>IF(Valor_normalizado!W6=0,32,IFERROR(RANK(Valor_normalizado!W6,Valor_normalizado!W$2:W$33,0),"NA"))</f>
        <v>4</v>
      </c>
      <c r="X6" s="66">
        <f>IF(Valor_normalizado!X6=0,32,IFERROR(RANK(Valor_normalizado!X6,Valor_normalizado!X$2:X$33,0),"NA"))</f>
        <v>7</v>
      </c>
      <c r="Y6" s="66">
        <f>IF(Valor_normalizado!Y6=0,32,IFERROR(RANK(Valor_normalizado!Y6,Valor_normalizado!Y$2:Y$33,0),"NA"))</f>
        <v>7</v>
      </c>
    </row>
    <row r="7" ht="14.25" hidden="1" customHeight="1">
      <c r="A7" s="49" t="s">
        <v>311</v>
      </c>
      <c r="B7" s="4">
        <v>2019.0</v>
      </c>
      <c r="C7" s="66">
        <f>IF(Valor_normalizado!C7=0,32,IFERROR(RANK(Valor_normalizado!C7,Valor_normalizado!C$2:C$33,0),"NA"))</f>
        <v>6</v>
      </c>
      <c r="D7" s="66">
        <f>IF(Valor_normalizado!D7=0,32,IFERROR(RANK(Valor_normalizado!D7,Valor_normalizado!D$2:D$33,0),"NA"))</f>
        <v>7</v>
      </c>
      <c r="E7" s="66">
        <f>IF(Valor_normalizado!E7=0,32,IFERROR(RANK(Valor_normalizado!E7,Valor_normalizado!E$2:E$33,0),"NA"))</f>
        <v>4</v>
      </c>
      <c r="F7" s="66">
        <f>IF(Valor_normalizado!F7=0,32,IFERROR(RANK(Valor_normalizado!F7,Valor_normalizado!F$2:F$33,0),"NA"))</f>
        <v>5</v>
      </c>
      <c r="G7" s="66">
        <f>IF(Valor_normalizado!G7=0,32,IFERROR(RANK(Valor_normalizado!G7,Valor_normalizado!G$2:G$33,0),"NA"))</f>
        <v>5</v>
      </c>
      <c r="H7" s="66">
        <f>IF(Valor_normalizado!H7=0,32,IFERROR(RANK(Valor_normalizado!H7,Valor_normalizado!H$2:H$33,0),"NA"))</f>
        <v>8</v>
      </c>
      <c r="I7" s="66">
        <f>IF(Valor_normalizado!I7=0,32,IFERROR(RANK(Valor_normalizado!I7,Valor_normalizado!I$2:I$33,0),"NA"))</f>
        <v>7</v>
      </c>
      <c r="J7" s="66">
        <f>IF(Valor_normalizado!J7=0,32,IFERROR(RANK(Valor_normalizado!J7,Valor_normalizado!J$2:J$33,0),"NA"))</f>
        <v>4</v>
      </c>
      <c r="K7" s="66">
        <f>IF(Valor_normalizado!K7=0,32,IFERROR(RANK(Valor_normalizado!K7,Valor_normalizado!K$2:K$33,0),"NA"))</f>
        <v>6</v>
      </c>
      <c r="L7" s="66">
        <f>IF(Valor_normalizado!L7=0,32,IFERROR(RANK(Valor_normalizado!L7,Valor_normalizado!L$2:L$33,0),"NA"))</f>
        <v>5</v>
      </c>
      <c r="M7" s="66">
        <f>IF(Valor_normalizado!M7=0,32,IFERROR(RANK(Valor_normalizado!M7,Valor_normalizado!M$2:M$33,0),"NA"))</f>
        <v>8</v>
      </c>
      <c r="N7" s="66">
        <f>IF(Valor_normalizado!N7=0,32,IFERROR(RANK(Valor_normalizado!N7,Valor_normalizado!N$2:N$33,0),"NA"))</f>
        <v>5</v>
      </c>
      <c r="O7" s="66">
        <f>IF(Valor_normalizado!O7=0,32,IFERROR(RANK(Valor_normalizado!O7,Valor_normalizado!O$2:O$33,0),"NA"))</f>
        <v>6</v>
      </c>
      <c r="P7" s="66">
        <f>IF(Valor_normalizado!P7=0,32,IFERROR(RANK(Valor_normalizado!P7,Valor_normalizado!P$2:P$33,0),"NA"))</f>
        <v>13</v>
      </c>
      <c r="Q7" s="66">
        <f>IF(Valor_normalizado!Q7=0,32,IFERROR(RANK(Valor_normalizado!Q7,Valor_normalizado!Q$2:Q$33,0),"NA"))</f>
        <v>12</v>
      </c>
      <c r="R7" s="66">
        <f>IF(Valor_normalizado!R7=0,32,IFERROR(RANK(Valor_normalizado!R7,Valor_normalizado!R$2:R$33,0),"NA"))</f>
        <v>6</v>
      </c>
      <c r="S7" s="66">
        <f>IF(Valor_normalizado!S7=0,32,IFERROR(RANK(Valor_normalizado!S7,Valor_normalizado!S$2:S$33,0),"NA"))</f>
        <v>10</v>
      </c>
      <c r="T7" s="66">
        <f>IF(Valor_normalizado!T7=0,32,IFERROR(RANK(Valor_normalizado!T7,Valor_normalizado!T$2:T$33,0),"NA"))</f>
        <v>8</v>
      </c>
      <c r="U7" s="66">
        <f>IF(Valor_normalizado!U7=0,32,IFERROR(RANK(Valor_normalizado!U7,Valor_normalizado!U$2:U$33,0),"NA"))</f>
        <v>6</v>
      </c>
      <c r="V7" s="66">
        <f>IF(Valor_normalizado!V7=0,32,IFERROR(RANK(Valor_normalizado!V7,Valor_normalizado!V$2:V$33,0),"NA"))</f>
        <v>8</v>
      </c>
      <c r="W7" s="66">
        <f>IF(Valor_normalizado!W7=0,32,IFERROR(RANK(Valor_normalizado!W7,Valor_normalizado!W$2:W$33,0),"NA"))</f>
        <v>7</v>
      </c>
      <c r="X7" s="66">
        <f>IF(Valor_normalizado!X7=0,32,IFERROR(RANK(Valor_normalizado!X7,Valor_normalizado!X$2:X$33,0),"NA"))</f>
        <v>6</v>
      </c>
      <c r="Y7" s="66">
        <f>IF(Valor_normalizado!Y7=0,32,IFERROR(RANK(Valor_normalizado!Y7,Valor_normalizado!Y$2:Y$33,0),"NA"))</f>
        <v>5</v>
      </c>
    </row>
    <row r="8" ht="14.25" hidden="1" customHeight="1">
      <c r="A8" s="51" t="s">
        <v>318</v>
      </c>
      <c r="B8" s="4">
        <v>2019.0</v>
      </c>
      <c r="C8" s="66">
        <f>IF(Valor_normalizado!C8=0,32,IFERROR(RANK(Valor_normalizado!C8,Valor_normalizado!C$2:C$33,0),"NA"))</f>
        <v>7</v>
      </c>
      <c r="D8" s="66">
        <f>IF(Valor_normalizado!D8=0,32,IFERROR(RANK(Valor_normalizado!D8,Valor_normalizado!D$2:D$33,0),"NA"))</f>
        <v>4</v>
      </c>
      <c r="E8" s="66">
        <f>IF(Valor_normalizado!E8=0,32,IFERROR(RANK(Valor_normalizado!E8,Valor_normalizado!E$2:E$33,0),"NA"))</f>
        <v>3</v>
      </c>
      <c r="F8" s="66">
        <f>IF(Valor_normalizado!F8=0,32,IFERROR(RANK(Valor_normalizado!F8,Valor_normalizado!F$2:F$33,0),"NA"))</f>
        <v>3</v>
      </c>
      <c r="G8" s="66">
        <f>IF(Valor_normalizado!G8=0,32,IFERROR(RANK(Valor_normalizado!G8,Valor_normalizado!G$2:G$33,0),"NA"))</f>
        <v>3</v>
      </c>
      <c r="H8" s="66">
        <f>IF(Valor_normalizado!H8=0,32,IFERROR(RANK(Valor_normalizado!H8,Valor_normalizado!H$2:H$33,0),"NA"))</f>
        <v>17</v>
      </c>
      <c r="I8" s="66">
        <f>IF(Valor_normalizado!I8=0,32,IFERROR(RANK(Valor_normalizado!I8,Valor_normalizado!I$2:I$33,0),"NA"))</f>
        <v>13</v>
      </c>
      <c r="J8" s="66">
        <f>IF(Valor_normalizado!J8=0,32,IFERROR(RANK(Valor_normalizado!J8,Valor_normalizado!J$2:J$33,0),"NA"))</f>
        <v>11</v>
      </c>
      <c r="K8" s="66">
        <f>IF(Valor_normalizado!K8=0,32,IFERROR(RANK(Valor_normalizado!K8,Valor_normalizado!K$2:K$33,0),"NA"))</f>
        <v>13</v>
      </c>
      <c r="L8" s="66">
        <f>IF(Valor_normalizado!L8=0,32,IFERROR(RANK(Valor_normalizado!L8,Valor_normalizado!L$2:L$33,0),"NA"))</f>
        <v>9</v>
      </c>
      <c r="M8" s="66">
        <f>IF(Valor_normalizado!M8=0,32,IFERROR(RANK(Valor_normalizado!M8,Valor_normalizado!M$2:M$33,0),"NA"))</f>
        <v>6</v>
      </c>
      <c r="N8" s="66">
        <f>IF(Valor_normalizado!N8=0,32,IFERROR(RANK(Valor_normalizado!N8,Valor_normalizado!N$2:N$33,0),"NA"))</f>
        <v>8</v>
      </c>
      <c r="O8" s="66">
        <f>IF(Valor_normalizado!O8=0,32,IFERROR(RANK(Valor_normalizado!O8,Valor_normalizado!O$2:O$33,0),"NA"))</f>
        <v>10</v>
      </c>
      <c r="P8" s="66">
        <f>IF(Valor_normalizado!P8=0,32,IFERROR(RANK(Valor_normalizado!P8,Valor_normalizado!P$2:P$33,0),"NA"))</f>
        <v>9</v>
      </c>
      <c r="Q8" s="66">
        <f>IF(Valor_normalizado!Q8=0,32,IFERROR(RANK(Valor_normalizado!Q8,Valor_normalizado!Q$2:Q$33,0),"NA"))</f>
        <v>11</v>
      </c>
      <c r="R8" s="66">
        <f>IF(Valor_normalizado!R8=0,32,IFERROR(RANK(Valor_normalizado!R8,Valor_normalizado!R$2:R$33,0),"NA"))</f>
        <v>8</v>
      </c>
      <c r="S8" s="66">
        <f>IF(Valor_normalizado!S8=0,32,IFERROR(RANK(Valor_normalizado!S8,Valor_normalizado!S$2:S$33,0),"NA"))</f>
        <v>9</v>
      </c>
      <c r="T8" s="66">
        <f>IF(Valor_normalizado!T8=0,32,IFERROR(RANK(Valor_normalizado!T8,Valor_normalizado!T$2:T$33,0),"NA"))</f>
        <v>6</v>
      </c>
      <c r="U8" s="66">
        <f>IF(Valor_normalizado!U8=0,32,IFERROR(RANK(Valor_normalizado!U8,Valor_normalizado!U$2:U$33,0),"NA"))</f>
        <v>7</v>
      </c>
      <c r="V8" s="66">
        <f>IF(Valor_normalizado!V8=0,32,IFERROR(RANK(Valor_normalizado!V8,Valor_normalizado!V$2:V$33,0),"NA"))</f>
        <v>3</v>
      </c>
      <c r="W8" s="66">
        <f>IF(Valor_normalizado!W8=0,32,IFERROR(RANK(Valor_normalizado!W8,Valor_normalizado!W$2:W$33,0),"NA"))</f>
        <v>3</v>
      </c>
      <c r="X8" s="66">
        <f>IF(Valor_normalizado!X8=0,32,IFERROR(RANK(Valor_normalizado!X8,Valor_normalizado!X$2:X$33,0),"NA"))</f>
        <v>5</v>
      </c>
      <c r="Y8" s="66">
        <f>IF(Valor_normalizado!Y8=0,32,IFERROR(RANK(Valor_normalizado!Y8,Valor_normalizado!Y$2:Y$33,0),"NA"))</f>
        <v>4</v>
      </c>
    </row>
    <row r="9" ht="14.25" hidden="1" customHeight="1">
      <c r="A9" s="49" t="s">
        <v>324</v>
      </c>
      <c r="B9" s="4">
        <v>2019.0</v>
      </c>
      <c r="C9" s="66">
        <f>IF(Valor_normalizado!C9=0,32,IFERROR(RANK(Valor_normalizado!C9,Valor_normalizado!C$2:C$33,0),"NA"))</f>
        <v>8</v>
      </c>
      <c r="D9" s="66">
        <f>IF(Valor_normalizado!D9=0,32,IFERROR(RANK(Valor_normalizado!D9,Valor_normalizado!D$2:D$33,0),"NA"))</f>
        <v>22</v>
      </c>
      <c r="E9" s="66">
        <f>IF(Valor_normalizado!E9=0,32,IFERROR(RANK(Valor_normalizado!E9,Valor_normalizado!E$2:E$33,0),"NA"))</f>
        <v>15</v>
      </c>
      <c r="F9" s="66">
        <f>IF(Valor_normalizado!F9=0,32,IFERROR(RANK(Valor_normalizado!F9,Valor_normalizado!F$2:F$33,0),"NA"))</f>
        <v>13</v>
      </c>
      <c r="G9" s="66">
        <f>IF(Valor_normalizado!G9=0,32,IFERROR(RANK(Valor_normalizado!G9,Valor_normalizado!G$2:G$33,0),"NA"))</f>
        <v>11</v>
      </c>
      <c r="H9" s="66">
        <f>IF(Valor_normalizado!H9=0,32,IFERROR(RANK(Valor_normalizado!H9,Valor_normalizado!H$2:H$33,0),"NA"))</f>
        <v>11</v>
      </c>
      <c r="I9" s="66">
        <f>IF(Valor_normalizado!I9=0,32,IFERROR(RANK(Valor_normalizado!I9,Valor_normalizado!I$2:I$33,0),"NA"))</f>
        <v>11</v>
      </c>
      <c r="J9" s="66">
        <f>IF(Valor_normalizado!J9=0,32,IFERROR(RANK(Valor_normalizado!J9,Valor_normalizado!J$2:J$33,0),"NA"))</f>
        <v>23</v>
      </c>
      <c r="K9" s="66">
        <f>IF(Valor_normalizado!K9=0,32,IFERROR(RANK(Valor_normalizado!K9,Valor_normalizado!K$2:K$33,0),"NA"))</f>
        <v>16</v>
      </c>
      <c r="L9" s="66">
        <f>IF(Valor_normalizado!L9=0,32,IFERROR(RANK(Valor_normalizado!L9,Valor_normalizado!L$2:L$33,0),"NA"))</f>
        <v>13</v>
      </c>
      <c r="M9" s="66">
        <f>IF(Valor_normalizado!M9=0,32,IFERROR(RANK(Valor_normalizado!M9,Valor_normalizado!M$2:M$33,0),"NA"))</f>
        <v>16</v>
      </c>
      <c r="N9" s="66">
        <f>IF(Valor_normalizado!N9=0,32,IFERROR(RANK(Valor_normalizado!N9,Valor_normalizado!N$2:N$33,0),"NA"))</f>
        <v>32</v>
      </c>
      <c r="O9" s="66">
        <f>IF(Valor_normalizado!O9=0,32,IFERROR(RANK(Valor_normalizado!O9,Valor_normalizado!O$2:O$33,0),"NA"))</f>
        <v>21</v>
      </c>
      <c r="P9" s="66">
        <f>IF(Valor_normalizado!P9=0,32,IFERROR(RANK(Valor_normalizado!P9,Valor_normalizado!P$2:P$33,0),"NA"))</f>
        <v>6</v>
      </c>
      <c r="Q9" s="66">
        <f>IF(Valor_normalizado!Q9=0,32,IFERROR(RANK(Valor_normalizado!Q9,Valor_normalizado!Q$2:Q$33,0),"NA"))</f>
        <v>21</v>
      </c>
      <c r="R9" s="66">
        <f>IF(Valor_normalizado!R9=0,32,IFERROR(RANK(Valor_normalizado!R9,Valor_normalizado!R$2:R$33,0),"NA"))</f>
        <v>17</v>
      </c>
      <c r="S9" s="66">
        <f>IF(Valor_normalizado!S9=0,32,IFERROR(RANK(Valor_normalizado!S9,Valor_normalizado!S$2:S$33,0),"NA"))</f>
        <v>8</v>
      </c>
      <c r="T9" s="66">
        <f>IF(Valor_normalizado!T9=0,32,IFERROR(RANK(Valor_normalizado!T9,Valor_normalizado!T$2:T$33,0),"NA"))</f>
        <v>32</v>
      </c>
      <c r="U9" s="66">
        <f>IF(Valor_normalizado!U9=0,32,IFERROR(RANK(Valor_normalizado!U9,Valor_normalizado!U$2:U$33,0),"NA"))</f>
        <v>32</v>
      </c>
      <c r="V9" s="66">
        <f>IF(Valor_normalizado!V9=0,32,IFERROR(RANK(Valor_normalizado!V9,Valor_normalizado!V$2:V$33,0),"NA"))</f>
        <v>14</v>
      </c>
      <c r="W9" s="66">
        <f>IF(Valor_normalizado!W9=0,32,IFERROR(RANK(Valor_normalizado!W9,Valor_normalizado!W$2:W$33,0),"NA"))</f>
        <v>14</v>
      </c>
      <c r="X9" s="66">
        <f>IF(Valor_normalizado!X9=0,32,IFERROR(RANK(Valor_normalizado!X9,Valor_normalizado!X$2:X$33,0),"NA"))</f>
        <v>14</v>
      </c>
      <c r="Y9" s="66">
        <f>IF(Valor_normalizado!Y9=0,32,IFERROR(RANK(Valor_normalizado!Y9,Valor_normalizado!Y$2:Y$33,0),"NA"))</f>
        <v>14</v>
      </c>
    </row>
    <row r="10" ht="14.25" hidden="1" customHeight="1">
      <c r="A10" s="51" t="s">
        <v>327</v>
      </c>
      <c r="B10" s="4">
        <v>2019.0</v>
      </c>
      <c r="C10" s="66">
        <f>IF(Valor_normalizado!C10=0,32,IFERROR(RANK(Valor_normalizado!C10,Valor_normalizado!C$2:C$33,0),"NA"))</f>
        <v>9</v>
      </c>
      <c r="D10" s="66">
        <f>IF(Valor_normalizado!D10=0,32,IFERROR(RANK(Valor_normalizado!D10,Valor_normalizado!D$2:D$33,0),"NA"))</f>
        <v>13</v>
      </c>
      <c r="E10" s="66">
        <f>IF(Valor_normalizado!E10=0,32,IFERROR(RANK(Valor_normalizado!E10,Valor_normalizado!E$2:E$33,0),"NA"))</f>
        <v>10</v>
      </c>
      <c r="F10" s="66">
        <f>IF(Valor_normalizado!F10=0,32,IFERROR(RANK(Valor_normalizado!F10,Valor_normalizado!F$2:F$33,0),"NA"))</f>
        <v>6</v>
      </c>
      <c r="G10" s="66">
        <f>IF(Valor_normalizado!G10=0,32,IFERROR(RANK(Valor_normalizado!G10,Valor_normalizado!G$2:G$33,0),"NA"))</f>
        <v>9</v>
      </c>
      <c r="H10" s="66">
        <f>IF(Valor_normalizado!H10=0,32,IFERROR(RANK(Valor_normalizado!H10,Valor_normalizado!H$2:H$33,0),"NA"))</f>
        <v>7</v>
      </c>
      <c r="I10" s="66">
        <f>IF(Valor_normalizado!I10=0,32,IFERROR(RANK(Valor_normalizado!I10,Valor_normalizado!I$2:I$33,0),"NA"))</f>
        <v>2</v>
      </c>
      <c r="J10" s="66">
        <f>IF(Valor_normalizado!J10=0,32,IFERROR(RANK(Valor_normalizado!J10,Valor_normalizado!J$2:J$33,0),"NA"))</f>
        <v>10</v>
      </c>
      <c r="K10" s="66">
        <f>IF(Valor_normalizado!K10=0,32,IFERROR(RANK(Valor_normalizado!K10,Valor_normalizado!K$2:K$33,0),"NA"))</f>
        <v>5</v>
      </c>
      <c r="L10" s="66">
        <f>IF(Valor_normalizado!L10=0,32,IFERROR(RANK(Valor_normalizado!L10,Valor_normalizado!L$2:L$33,0),"NA"))</f>
        <v>7</v>
      </c>
      <c r="M10" s="66">
        <f>IF(Valor_normalizado!M10=0,32,IFERROR(RANK(Valor_normalizado!M10,Valor_normalizado!M$2:M$33,0),"NA"))</f>
        <v>17</v>
      </c>
      <c r="N10" s="66">
        <f>IF(Valor_normalizado!N10=0,32,IFERROR(RANK(Valor_normalizado!N10,Valor_normalizado!N$2:N$33,0),"NA"))</f>
        <v>32</v>
      </c>
      <c r="O10" s="66">
        <f>IF(Valor_normalizado!O10=0,32,IFERROR(RANK(Valor_normalizado!O10,Valor_normalizado!O$2:O$33,0),"NA"))</f>
        <v>18</v>
      </c>
      <c r="P10" s="66">
        <f>IF(Valor_normalizado!P10=0,32,IFERROR(RANK(Valor_normalizado!P10,Valor_normalizado!P$2:P$33,0),"NA"))</f>
        <v>4</v>
      </c>
      <c r="Q10" s="66">
        <f>IF(Valor_normalizado!Q10=0,32,IFERROR(RANK(Valor_normalizado!Q10,Valor_normalizado!Q$2:Q$33,0),"NA"))</f>
        <v>9</v>
      </c>
      <c r="R10" s="66">
        <f>IF(Valor_normalizado!R10=0,32,IFERROR(RANK(Valor_normalizado!R10,Valor_normalizado!R$2:R$33,0),"NA"))</f>
        <v>15</v>
      </c>
      <c r="S10" s="66">
        <f>IF(Valor_normalizado!S10=0,32,IFERROR(RANK(Valor_normalizado!S10,Valor_normalizado!S$2:S$33,0),"NA"))</f>
        <v>14</v>
      </c>
      <c r="T10" s="66">
        <f>IF(Valor_normalizado!T10=0,32,IFERROR(RANK(Valor_normalizado!T10,Valor_normalizado!T$2:T$33,0),"NA"))</f>
        <v>11</v>
      </c>
      <c r="U10" s="66">
        <f>IF(Valor_normalizado!U10=0,32,IFERROR(RANK(Valor_normalizado!U10,Valor_normalizado!U$2:U$33,0),"NA"))</f>
        <v>5</v>
      </c>
      <c r="V10" s="66">
        <f>IF(Valor_normalizado!V10=0,32,IFERROR(RANK(Valor_normalizado!V10,Valor_normalizado!V$2:V$33,0),"NA"))</f>
        <v>10</v>
      </c>
      <c r="W10" s="66">
        <f>IF(Valor_normalizado!W10=0,32,IFERROR(RANK(Valor_normalizado!W10,Valor_normalizado!W$2:W$33,0),"NA"))</f>
        <v>11</v>
      </c>
      <c r="X10" s="66">
        <f>IF(Valor_normalizado!X10=0,32,IFERROR(RANK(Valor_normalizado!X10,Valor_normalizado!X$2:X$33,0),"NA"))</f>
        <v>12</v>
      </c>
      <c r="Y10" s="66">
        <f>IF(Valor_normalizado!Y10=0,32,IFERROR(RANK(Valor_normalizado!Y10,Valor_normalizado!Y$2:Y$33,0),"NA"))</f>
        <v>11</v>
      </c>
    </row>
    <row r="11" ht="14.25" hidden="1" customHeight="1">
      <c r="A11" s="49" t="s">
        <v>313</v>
      </c>
      <c r="B11" s="4">
        <v>2019.0</v>
      </c>
      <c r="C11" s="66">
        <f>IF(Valor_normalizado!C11=0,32,IFERROR(RANK(Valor_normalizado!C11,Valor_normalizado!C$2:C$33,0),"NA"))</f>
        <v>10</v>
      </c>
      <c r="D11" s="66">
        <f>IF(Valor_normalizado!D11=0,32,IFERROR(RANK(Valor_normalizado!D11,Valor_normalizado!D$2:D$33,0),"NA"))</f>
        <v>19</v>
      </c>
      <c r="E11" s="66">
        <f>IF(Valor_normalizado!E11=0,32,IFERROR(RANK(Valor_normalizado!E11,Valor_normalizado!E$2:E$33,0),"NA"))</f>
        <v>12</v>
      </c>
      <c r="F11" s="66">
        <f>IF(Valor_normalizado!F11=0,32,IFERROR(RANK(Valor_normalizado!F11,Valor_normalizado!F$2:F$33,0),"NA"))</f>
        <v>17</v>
      </c>
      <c r="G11" s="66">
        <f>IF(Valor_normalizado!G11=0,32,IFERROR(RANK(Valor_normalizado!G11,Valor_normalizado!G$2:G$33,0),"NA"))</f>
        <v>13</v>
      </c>
      <c r="H11" s="66">
        <f>IF(Valor_normalizado!H11=0,32,IFERROR(RANK(Valor_normalizado!H11,Valor_normalizado!H$2:H$33,0),"NA"))</f>
        <v>10</v>
      </c>
      <c r="I11" s="66">
        <f>IF(Valor_normalizado!I11=0,32,IFERROR(RANK(Valor_normalizado!I11,Valor_normalizado!I$2:I$33,0),"NA"))</f>
        <v>8</v>
      </c>
      <c r="J11" s="66">
        <f>IF(Valor_normalizado!J11=0,32,IFERROR(RANK(Valor_normalizado!J11,Valor_normalizado!J$2:J$33,0),"NA"))</f>
        <v>19</v>
      </c>
      <c r="K11" s="66">
        <f>IF(Valor_normalizado!K11=0,32,IFERROR(RANK(Valor_normalizado!K11,Valor_normalizado!K$2:K$33,0),"NA"))</f>
        <v>11</v>
      </c>
      <c r="L11" s="66">
        <f>IF(Valor_normalizado!L11=0,32,IFERROR(RANK(Valor_normalizado!L11,Valor_normalizado!L$2:L$33,0),"NA"))</f>
        <v>12</v>
      </c>
      <c r="M11" s="66">
        <f>IF(Valor_normalizado!M11=0,32,IFERROR(RANK(Valor_normalizado!M11,Valor_normalizado!M$2:M$33,0),"NA"))</f>
        <v>20</v>
      </c>
      <c r="N11" s="66">
        <f>IF(Valor_normalizado!N11=0,32,IFERROR(RANK(Valor_normalizado!N11,Valor_normalizado!N$2:N$33,0),"NA"))</f>
        <v>10</v>
      </c>
      <c r="O11" s="66">
        <f>IF(Valor_normalizado!O11=0,32,IFERROR(RANK(Valor_normalizado!O11,Valor_normalizado!O$2:O$33,0),"NA"))</f>
        <v>9</v>
      </c>
      <c r="P11" s="66">
        <f>IF(Valor_normalizado!P11=0,32,IFERROR(RANK(Valor_normalizado!P11,Valor_normalizado!P$2:P$33,0),"NA"))</f>
        <v>22</v>
      </c>
      <c r="Q11" s="66">
        <f>IF(Valor_normalizado!Q11=0,32,IFERROR(RANK(Valor_normalizado!Q11,Valor_normalizado!Q$2:Q$33,0),"NA"))</f>
        <v>17</v>
      </c>
      <c r="R11" s="66">
        <f>IF(Valor_normalizado!R11=0,32,IFERROR(RANK(Valor_normalizado!R11,Valor_normalizado!R$2:R$33,0),"NA"))</f>
        <v>19</v>
      </c>
      <c r="S11" s="66">
        <f>IF(Valor_normalizado!S11=0,32,IFERROR(RANK(Valor_normalizado!S11,Valor_normalizado!S$2:S$33,0),"NA"))</f>
        <v>32</v>
      </c>
      <c r="T11" s="66">
        <f>IF(Valor_normalizado!T11=0,32,IFERROR(RANK(Valor_normalizado!T11,Valor_normalizado!T$2:T$33,0),"NA"))</f>
        <v>32</v>
      </c>
      <c r="U11" s="66">
        <f>IF(Valor_normalizado!U11=0,32,IFERROR(RANK(Valor_normalizado!U11,Valor_normalizado!U$2:U$33,0),"NA"))</f>
        <v>32</v>
      </c>
      <c r="V11" s="66">
        <f>IF(Valor_normalizado!V11=0,32,IFERROR(RANK(Valor_normalizado!V11,Valor_normalizado!V$2:V$33,0),"NA"))</f>
        <v>18</v>
      </c>
      <c r="W11" s="66">
        <f>IF(Valor_normalizado!W11=0,32,IFERROR(RANK(Valor_normalizado!W11,Valor_normalizado!W$2:W$33,0),"NA"))</f>
        <v>23</v>
      </c>
      <c r="X11" s="66">
        <f>IF(Valor_normalizado!X11=0,32,IFERROR(RANK(Valor_normalizado!X11,Valor_normalizado!X$2:X$33,0),"NA"))</f>
        <v>21</v>
      </c>
      <c r="Y11" s="66">
        <f>IF(Valor_normalizado!Y11=0,32,IFERROR(RANK(Valor_normalizado!Y11,Valor_normalizado!Y$2:Y$33,0),"NA"))</f>
        <v>13</v>
      </c>
    </row>
    <row r="12" ht="14.25" hidden="1" customHeight="1">
      <c r="A12" s="51" t="s">
        <v>334</v>
      </c>
      <c r="B12" s="4">
        <v>2019.0</v>
      </c>
      <c r="C12" s="66">
        <f>IF(Valor_normalizado!C12=0,32,IFERROR(RANK(Valor_normalizado!C12,Valor_normalizado!C$2:C$33,0),"NA"))</f>
        <v>11</v>
      </c>
      <c r="D12" s="66">
        <f>IF(Valor_normalizado!D12=0,32,IFERROR(RANK(Valor_normalizado!D12,Valor_normalizado!D$2:D$33,0),"NA"))</f>
        <v>16</v>
      </c>
      <c r="E12" s="66">
        <f>IF(Valor_normalizado!E12=0,32,IFERROR(RANK(Valor_normalizado!E12,Valor_normalizado!E$2:E$33,0),"NA"))</f>
        <v>6</v>
      </c>
      <c r="F12" s="66">
        <f>IF(Valor_normalizado!F12=0,32,IFERROR(RANK(Valor_normalizado!F12,Valor_normalizado!F$2:F$33,0),"NA"))</f>
        <v>10</v>
      </c>
      <c r="G12" s="66">
        <f>IF(Valor_normalizado!G12=0,32,IFERROR(RANK(Valor_normalizado!G12,Valor_normalizado!G$2:G$33,0),"NA"))</f>
        <v>7</v>
      </c>
      <c r="H12" s="66">
        <f>IF(Valor_normalizado!H12=0,32,IFERROR(RANK(Valor_normalizado!H12,Valor_normalizado!H$2:H$33,0),"NA"))</f>
        <v>4</v>
      </c>
      <c r="I12" s="66">
        <f>IF(Valor_normalizado!I12=0,32,IFERROR(RANK(Valor_normalizado!I12,Valor_normalizado!I$2:I$33,0),"NA"))</f>
        <v>3</v>
      </c>
      <c r="J12" s="66">
        <f>IF(Valor_normalizado!J12=0,32,IFERROR(RANK(Valor_normalizado!J12,Valor_normalizado!J$2:J$33,0),"NA"))</f>
        <v>1</v>
      </c>
      <c r="K12" s="66">
        <f>IF(Valor_normalizado!K12=0,32,IFERROR(RANK(Valor_normalizado!K12,Valor_normalizado!K$2:K$33,0),"NA"))</f>
        <v>2</v>
      </c>
      <c r="L12" s="66">
        <f>IF(Valor_normalizado!L12=0,32,IFERROR(RANK(Valor_normalizado!L12,Valor_normalizado!L$2:L$33,0),"NA"))</f>
        <v>3</v>
      </c>
      <c r="M12" s="66">
        <f>IF(Valor_normalizado!M12=0,32,IFERROR(RANK(Valor_normalizado!M12,Valor_normalizado!M$2:M$33,0),"NA"))</f>
        <v>1</v>
      </c>
      <c r="N12" s="66">
        <f>IF(Valor_normalizado!N12=0,32,IFERROR(RANK(Valor_normalizado!N12,Valor_normalizado!N$2:N$33,0),"NA"))</f>
        <v>2</v>
      </c>
      <c r="O12" s="66">
        <f>IF(Valor_normalizado!O12=0,32,IFERROR(RANK(Valor_normalizado!O12,Valor_normalizado!O$2:O$33,0),"NA"))</f>
        <v>2</v>
      </c>
      <c r="P12" s="66">
        <f>IF(Valor_normalizado!P12=0,32,IFERROR(RANK(Valor_normalizado!P12,Valor_normalizado!P$2:P$33,0),"NA"))</f>
        <v>20</v>
      </c>
      <c r="Q12" s="66">
        <f>IF(Valor_normalizado!Q12=0,32,IFERROR(RANK(Valor_normalizado!Q12,Valor_normalizado!Q$2:Q$33,0),"NA"))</f>
        <v>13</v>
      </c>
      <c r="R12" s="66">
        <f>IF(Valor_normalizado!R12=0,32,IFERROR(RANK(Valor_normalizado!R12,Valor_normalizado!R$2:R$33,0),"NA"))</f>
        <v>2</v>
      </c>
      <c r="S12" s="66">
        <f>IF(Valor_normalizado!S12=0,32,IFERROR(RANK(Valor_normalizado!S12,Valor_normalizado!S$2:S$33,0),"NA"))</f>
        <v>7</v>
      </c>
      <c r="T12" s="66">
        <f>IF(Valor_normalizado!T12=0,32,IFERROR(RANK(Valor_normalizado!T12,Valor_normalizado!T$2:T$33,0),"NA"))</f>
        <v>2</v>
      </c>
      <c r="U12" s="66">
        <f>IF(Valor_normalizado!U12=0,32,IFERROR(RANK(Valor_normalizado!U12,Valor_normalizado!U$2:U$33,0),"NA"))</f>
        <v>8</v>
      </c>
      <c r="V12" s="66">
        <f>IF(Valor_normalizado!V12=0,32,IFERROR(RANK(Valor_normalizado!V12,Valor_normalizado!V$2:V$33,0),"NA"))</f>
        <v>5</v>
      </c>
      <c r="W12" s="66">
        <f>IF(Valor_normalizado!W12=0,32,IFERROR(RANK(Valor_normalizado!W12,Valor_normalizado!W$2:W$33,0),"NA"))</f>
        <v>5</v>
      </c>
      <c r="X12" s="66">
        <f>IF(Valor_normalizado!X12=0,32,IFERROR(RANK(Valor_normalizado!X12,Valor_normalizado!X$2:X$33,0),"NA"))</f>
        <v>3</v>
      </c>
      <c r="Y12" s="66">
        <f>IF(Valor_normalizado!Y12=0,32,IFERROR(RANK(Valor_normalizado!Y12,Valor_normalizado!Y$2:Y$33,0),"NA"))</f>
        <v>6</v>
      </c>
    </row>
    <row r="13" ht="14.25" hidden="1" customHeight="1">
      <c r="A13" s="49" t="s">
        <v>335</v>
      </c>
      <c r="B13" s="4">
        <v>2019.0</v>
      </c>
      <c r="C13" s="66">
        <f>IF(Valor_normalizado!C13=0,32,IFERROR(RANK(Valor_normalizado!C13,Valor_normalizado!C$2:C$33,0),"NA"))</f>
        <v>12</v>
      </c>
      <c r="D13" s="66">
        <f>IF(Valor_normalizado!D13=0,32,IFERROR(RANK(Valor_normalizado!D13,Valor_normalizado!D$2:D$33,0),"NA"))</f>
        <v>15</v>
      </c>
      <c r="E13" s="66">
        <f>IF(Valor_normalizado!E13=0,32,IFERROR(RANK(Valor_normalizado!E13,Valor_normalizado!E$2:E$33,0),"NA"))</f>
        <v>9</v>
      </c>
      <c r="F13" s="66">
        <f>IF(Valor_normalizado!F13=0,32,IFERROR(RANK(Valor_normalizado!F13,Valor_normalizado!F$2:F$33,0),"NA"))</f>
        <v>16</v>
      </c>
      <c r="G13" s="66">
        <f>IF(Valor_normalizado!G13=0,32,IFERROR(RANK(Valor_normalizado!G13,Valor_normalizado!G$2:G$33,0),"NA"))</f>
        <v>12</v>
      </c>
      <c r="H13" s="66">
        <f>IF(Valor_normalizado!H13=0,32,IFERROR(RANK(Valor_normalizado!H13,Valor_normalizado!H$2:H$33,0),"NA"))</f>
        <v>2</v>
      </c>
      <c r="I13" s="66">
        <f>IF(Valor_normalizado!I13=0,32,IFERROR(RANK(Valor_normalizado!I13,Valor_normalizado!I$2:I$33,0),"NA"))</f>
        <v>4</v>
      </c>
      <c r="J13" s="66">
        <f>IF(Valor_normalizado!J13=0,32,IFERROR(RANK(Valor_normalizado!J13,Valor_normalizado!J$2:J$33,0),"NA"))</f>
        <v>12</v>
      </c>
      <c r="K13" s="66">
        <f>IF(Valor_normalizado!K13=0,32,IFERROR(RANK(Valor_normalizado!K13,Valor_normalizado!K$2:K$33,0),"NA"))</f>
        <v>3</v>
      </c>
      <c r="L13" s="66">
        <f>IF(Valor_normalizado!L13=0,32,IFERROR(RANK(Valor_normalizado!L13,Valor_normalizado!L$2:L$33,0),"NA"))</f>
        <v>6</v>
      </c>
      <c r="M13" s="66">
        <f>IF(Valor_normalizado!M13=0,32,IFERROR(RANK(Valor_normalizado!M13,Valor_normalizado!M$2:M$33,0),"NA"))</f>
        <v>12</v>
      </c>
      <c r="N13" s="66">
        <f>IF(Valor_normalizado!N13=0,32,IFERROR(RANK(Valor_normalizado!N13,Valor_normalizado!N$2:N$33,0),"NA"))</f>
        <v>32</v>
      </c>
      <c r="O13" s="66">
        <f>IF(Valor_normalizado!O13=0,32,IFERROR(RANK(Valor_normalizado!O13,Valor_normalizado!O$2:O$33,0),"NA"))</f>
        <v>8</v>
      </c>
      <c r="P13" s="66">
        <f>IF(Valor_normalizado!P13=0,32,IFERROR(RANK(Valor_normalizado!P13,Valor_normalizado!P$2:P$33,0),"NA"))</f>
        <v>1</v>
      </c>
      <c r="Q13" s="66">
        <f>IF(Valor_normalizado!Q13=0,32,IFERROR(RANK(Valor_normalizado!Q13,Valor_normalizado!Q$2:Q$33,0),"NA"))</f>
        <v>15</v>
      </c>
      <c r="R13" s="66">
        <f>IF(Valor_normalizado!R13=0,32,IFERROR(RANK(Valor_normalizado!R13,Valor_normalizado!R$2:R$33,0),"NA"))</f>
        <v>9</v>
      </c>
      <c r="S13" s="66">
        <f>IF(Valor_normalizado!S13=0,32,IFERROR(RANK(Valor_normalizado!S13,Valor_normalizado!S$2:S$33,0),"NA"))</f>
        <v>5</v>
      </c>
      <c r="T13" s="66">
        <f>IF(Valor_normalizado!T13=0,32,IFERROR(RANK(Valor_normalizado!T13,Valor_normalizado!T$2:T$33,0),"NA"))</f>
        <v>32</v>
      </c>
      <c r="U13" s="66">
        <f>IF(Valor_normalizado!U13=0,32,IFERROR(RANK(Valor_normalizado!U13,Valor_normalizado!U$2:U$33,0),"NA"))</f>
        <v>13</v>
      </c>
      <c r="V13" s="66">
        <f>IF(Valor_normalizado!V13=0,32,IFERROR(RANK(Valor_normalizado!V13,Valor_normalizado!V$2:V$33,0),"NA"))</f>
        <v>15</v>
      </c>
      <c r="W13" s="66">
        <f>IF(Valor_normalizado!W13=0,32,IFERROR(RANK(Valor_normalizado!W13,Valor_normalizado!W$2:W$33,0),"NA"))</f>
        <v>12</v>
      </c>
      <c r="X13" s="66">
        <f>IF(Valor_normalizado!X13=0,32,IFERROR(RANK(Valor_normalizado!X13,Valor_normalizado!X$2:X$33,0),"NA"))</f>
        <v>10</v>
      </c>
      <c r="Y13" s="66">
        <f>IF(Valor_normalizado!Y13=0,32,IFERROR(RANK(Valor_normalizado!Y13,Valor_normalizado!Y$2:Y$33,0),"NA"))</f>
        <v>9</v>
      </c>
    </row>
    <row r="14" ht="14.25" hidden="1" customHeight="1">
      <c r="A14" s="51" t="s">
        <v>315</v>
      </c>
      <c r="B14" s="4">
        <v>2019.0</v>
      </c>
      <c r="C14" s="66">
        <f>IF(Valor_normalizado!C14=0,32,IFERROR(RANK(Valor_normalizado!C14,Valor_normalizado!C$2:C$33,0),"NA"))</f>
        <v>13</v>
      </c>
      <c r="D14" s="66">
        <f>IF(Valor_normalizado!D14=0,32,IFERROR(RANK(Valor_normalizado!D14,Valor_normalizado!D$2:D$33,0),"NA"))</f>
        <v>9</v>
      </c>
      <c r="E14" s="66">
        <f>IF(Valor_normalizado!E14=0,32,IFERROR(RANK(Valor_normalizado!E14,Valor_normalizado!E$2:E$33,0),"NA"))</f>
        <v>13</v>
      </c>
      <c r="F14" s="66">
        <f>IF(Valor_normalizado!F14=0,32,IFERROR(RANK(Valor_normalizado!F14,Valor_normalizado!F$2:F$33,0),"NA"))</f>
        <v>4</v>
      </c>
      <c r="G14" s="66">
        <f>IF(Valor_normalizado!G14=0,32,IFERROR(RANK(Valor_normalizado!G14,Valor_normalizado!G$2:G$33,0),"NA"))</f>
        <v>10</v>
      </c>
      <c r="H14" s="66">
        <f>IF(Valor_normalizado!H14=0,32,IFERROR(RANK(Valor_normalizado!H14,Valor_normalizado!H$2:H$33,0),"NA"))</f>
        <v>26</v>
      </c>
      <c r="I14" s="66">
        <f>IF(Valor_normalizado!I14=0,32,IFERROR(RANK(Valor_normalizado!I14,Valor_normalizado!I$2:I$33,0),"NA"))</f>
        <v>21</v>
      </c>
      <c r="J14" s="66">
        <f>IF(Valor_normalizado!J14=0,32,IFERROR(RANK(Valor_normalizado!J14,Valor_normalizado!J$2:J$33,0),"NA"))</f>
        <v>23</v>
      </c>
      <c r="K14" s="66">
        <f>IF(Valor_normalizado!K14=0,32,IFERROR(RANK(Valor_normalizado!K14,Valor_normalizado!K$2:K$33,0),"NA"))</f>
        <v>24</v>
      </c>
      <c r="L14" s="66">
        <f>IF(Valor_normalizado!L14=0,32,IFERROR(RANK(Valor_normalizado!L14,Valor_normalizado!L$2:L$33,0),"NA"))</f>
        <v>16</v>
      </c>
      <c r="M14" s="66">
        <f>IF(Valor_normalizado!M14=0,32,IFERROR(RANK(Valor_normalizado!M14,Valor_normalizado!M$2:M$33,0),"NA"))</f>
        <v>23</v>
      </c>
      <c r="N14" s="66">
        <f>IF(Valor_normalizado!N14=0,32,IFERROR(RANK(Valor_normalizado!N14,Valor_normalizado!N$2:N$33,0),"NA"))</f>
        <v>14</v>
      </c>
      <c r="O14" s="66">
        <f>IF(Valor_normalizado!O14=0,32,IFERROR(RANK(Valor_normalizado!O14,Valor_normalizado!O$2:O$33,0),"NA"))</f>
        <v>23</v>
      </c>
      <c r="P14" s="66">
        <f>IF(Valor_normalizado!P14=0,32,IFERROR(RANK(Valor_normalizado!P14,Valor_normalizado!P$2:P$33,0),"NA"))</f>
        <v>12</v>
      </c>
      <c r="Q14" s="66">
        <f>IF(Valor_normalizado!Q14=0,32,IFERROR(RANK(Valor_normalizado!Q14,Valor_normalizado!Q$2:Q$33,0),"NA"))</f>
        <v>24</v>
      </c>
      <c r="R14" s="66">
        <f>IF(Valor_normalizado!R14=0,32,IFERROR(RANK(Valor_normalizado!R14,Valor_normalizado!R$2:R$33,0),"NA"))</f>
        <v>23</v>
      </c>
      <c r="S14" s="66">
        <f>IF(Valor_normalizado!S14=0,32,IFERROR(RANK(Valor_normalizado!S14,Valor_normalizado!S$2:S$33,0),"NA"))</f>
        <v>15</v>
      </c>
      <c r="T14" s="66">
        <f>IF(Valor_normalizado!T14=0,32,IFERROR(RANK(Valor_normalizado!T14,Valor_normalizado!T$2:T$33,0),"NA"))</f>
        <v>12</v>
      </c>
      <c r="U14" s="66">
        <f>IF(Valor_normalizado!U14=0,32,IFERROR(RANK(Valor_normalizado!U14,Valor_normalizado!U$2:U$33,0),"NA"))</f>
        <v>16</v>
      </c>
      <c r="V14" s="66">
        <f>IF(Valor_normalizado!V14=0,32,IFERROR(RANK(Valor_normalizado!V14,Valor_normalizado!V$2:V$33,0),"NA"))</f>
        <v>17</v>
      </c>
      <c r="W14" s="66">
        <f>IF(Valor_normalizado!W14=0,32,IFERROR(RANK(Valor_normalizado!W14,Valor_normalizado!W$2:W$33,0),"NA"))</f>
        <v>16</v>
      </c>
      <c r="X14" s="66">
        <f>IF(Valor_normalizado!X14=0,32,IFERROR(RANK(Valor_normalizado!X14,Valor_normalizado!X$2:X$33,0),"NA"))</f>
        <v>20</v>
      </c>
      <c r="Y14" s="66">
        <f>IF(Valor_normalizado!Y14=0,32,IFERROR(RANK(Valor_normalizado!Y14,Valor_normalizado!Y$2:Y$33,0),"NA"))</f>
        <v>19</v>
      </c>
    </row>
    <row r="15" ht="14.25" hidden="1" customHeight="1">
      <c r="A15" s="49" t="s">
        <v>307</v>
      </c>
      <c r="B15" s="4">
        <v>2019.0</v>
      </c>
      <c r="C15" s="66">
        <f>IF(Valor_normalizado!C15=0,32,IFERROR(RANK(Valor_normalizado!C15,Valor_normalizado!C$2:C$33,0),"NA"))</f>
        <v>14</v>
      </c>
      <c r="D15" s="66">
        <f>IF(Valor_normalizado!D15=0,32,IFERROR(RANK(Valor_normalizado!D15,Valor_normalizado!D$2:D$33,0),"NA"))</f>
        <v>5</v>
      </c>
      <c r="E15" s="66">
        <f>IF(Valor_normalizado!E15=0,32,IFERROR(RANK(Valor_normalizado!E15,Valor_normalizado!E$2:E$33,0),"NA"))</f>
        <v>23</v>
      </c>
      <c r="F15" s="66">
        <f>IF(Valor_normalizado!F15=0,32,IFERROR(RANK(Valor_normalizado!F15,Valor_normalizado!F$2:F$33,0),"NA"))</f>
        <v>22</v>
      </c>
      <c r="G15" s="66">
        <f>IF(Valor_normalizado!G15=0,32,IFERROR(RANK(Valor_normalizado!G15,Valor_normalizado!G$2:G$33,0),"NA"))</f>
        <v>19</v>
      </c>
      <c r="H15" s="66">
        <f>IF(Valor_normalizado!H15=0,32,IFERROR(RANK(Valor_normalizado!H15,Valor_normalizado!H$2:H$33,0),"NA"))</f>
        <v>22</v>
      </c>
      <c r="I15" s="66">
        <f>IF(Valor_normalizado!I15=0,32,IFERROR(RANK(Valor_normalizado!I15,Valor_normalizado!I$2:I$33,0),"NA"))</f>
        <v>16</v>
      </c>
      <c r="J15" s="66">
        <f>IF(Valor_normalizado!J15=0,32,IFERROR(RANK(Valor_normalizado!J15,Valor_normalizado!J$2:J$33,0),"NA"))</f>
        <v>14</v>
      </c>
      <c r="K15" s="66">
        <f>IF(Valor_normalizado!K15=0,32,IFERROR(RANK(Valor_normalizado!K15,Valor_normalizado!K$2:K$33,0),"NA"))</f>
        <v>18</v>
      </c>
      <c r="L15" s="66">
        <f>IF(Valor_normalizado!L15=0,32,IFERROR(RANK(Valor_normalizado!L15,Valor_normalizado!L$2:L$33,0),"NA"))</f>
        <v>19</v>
      </c>
      <c r="M15" s="66">
        <f>IF(Valor_normalizado!M15=0,32,IFERROR(RANK(Valor_normalizado!M15,Valor_normalizado!M$2:M$33,0),"NA"))</f>
        <v>10</v>
      </c>
      <c r="N15" s="66">
        <f>IF(Valor_normalizado!N15=0,32,IFERROR(RANK(Valor_normalizado!N15,Valor_normalizado!N$2:N$33,0),"NA"))</f>
        <v>9</v>
      </c>
      <c r="O15" s="66">
        <f>IF(Valor_normalizado!O15=0,32,IFERROR(RANK(Valor_normalizado!O15,Valor_normalizado!O$2:O$33,0),"NA"))</f>
        <v>14</v>
      </c>
      <c r="P15" s="66">
        <f>IF(Valor_normalizado!P15=0,32,IFERROR(RANK(Valor_normalizado!P15,Valor_normalizado!P$2:P$33,0),"NA"))</f>
        <v>32</v>
      </c>
      <c r="Q15" s="66">
        <f>IF(Valor_normalizado!Q15=0,32,IFERROR(RANK(Valor_normalizado!Q15,Valor_normalizado!Q$2:Q$33,0),"NA"))</f>
        <v>10</v>
      </c>
      <c r="R15" s="66">
        <f>IF(Valor_normalizado!R15=0,32,IFERROR(RANK(Valor_normalizado!R15,Valor_normalizado!R$2:R$33,0),"NA"))</f>
        <v>21</v>
      </c>
      <c r="S15" s="66">
        <f>IF(Valor_normalizado!S15=0,32,IFERROR(RANK(Valor_normalizado!S15,Valor_normalizado!S$2:S$33,0),"NA"))</f>
        <v>18</v>
      </c>
      <c r="T15" s="66">
        <f>IF(Valor_normalizado!T15=0,32,IFERROR(RANK(Valor_normalizado!T15,Valor_normalizado!T$2:T$33,0),"NA"))</f>
        <v>15</v>
      </c>
      <c r="U15" s="66">
        <f>IF(Valor_normalizado!U15=0,32,IFERROR(RANK(Valor_normalizado!U15,Valor_normalizado!U$2:U$33,0),"NA"))</f>
        <v>9</v>
      </c>
      <c r="V15" s="66">
        <f>IF(Valor_normalizado!V15=0,32,IFERROR(RANK(Valor_normalizado!V15,Valor_normalizado!V$2:V$33,0),"NA"))</f>
        <v>12</v>
      </c>
      <c r="W15" s="66">
        <f>IF(Valor_normalizado!W15=0,32,IFERROR(RANK(Valor_normalizado!W15,Valor_normalizado!W$2:W$33,0),"NA"))</f>
        <v>15</v>
      </c>
      <c r="X15" s="66">
        <f>IF(Valor_normalizado!X15=0,32,IFERROR(RANK(Valor_normalizado!X15,Valor_normalizado!X$2:X$33,0),"NA"))</f>
        <v>18</v>
      </c>
      <c r="Y15" s="66">
        <f>IF(Valor_normalizado!Y15=0,32,IFERROR(RANK(Valor_normalizado!Y15,Valor_normalizado!Y$2:Y$33,0),"NA"))</f>
        <v>10</v>
      </c>
    </row>
    <row r="16" ht="14.25" hidden="1" customHeight="1">
      <c r="A16" s="51" t="s">
        <v>336</v>
      </c>
      <c r="B16" s="4">
        <v>2019.0</v>
      </c>
      <c r="C16" s="66">
        <f>IF(Valor_normalizado!C16=0,32,IFERROR(RANK(Valor_normalizado!C16,Valor_normalizado!C$2:C$33,0),"NA"))</f>
        <v>15</v>
      </c>
      <c r="D16" s="66">
        <f>IF(Valor_normalizado!D16=0,32,IFERROR(RANK(Valor_normalizado!D16,Valor_normalizado!D$2:D$33,0),"NA"))</f>
        <v>6</v>
      </c>
      <c r="E16" s="66">
        <f>IF(Valor_normalizado!E16=0,32,IFERROR(RANK(Valor_normalizado!E16,Valor_normalizado!E$2:E$33,0),"NA"))</f>
        <v>20</v>
      </c>
      <c r="F16" s="66">
        <f>IF(Valor_normalizado!F16=0,32,IFERROR(RANK(Valor_normalizado!F16,Valor_normalizado!F$2:F$33,0),"NA"))</f>
        <v>23</v>
      </c>
      <c r="G16" s="66">
        <f>IF(Valor_normalizado!G16=0,32,IFERROR(RANK(Valor_normalizado!G16,Valor_normalizado!G$2:G$33,0),"NA"))</f>
        <v>20</v>
      </c>
      <c r="H16" s="66">
        <f>IF(Valor_normalizado!H16=0,32,IFERROR(RANK(Valor_normalizado!H16,Valor_normalizado!H$2:H$33,0),"NA"))</f>
        <v>14</v>
      </c>
      <c r="I16" s="66">
        <f>IF(Valor_normalizado!I16=0,32,IFERROR(RANK(Valor_normalizado!I16,Valor_normalizado!I$2:I$33,0),"NA"))</f>
        <v>9</v>
      </c>
      <c r="J16" s="66">
        <f>IF(Valor_normalizado!J16=0,32,IFERROR(RANK(Valor_normalizado!J16,Valor_normalizado!J$2:J$33,0),"NA"))</f>
        <v>9</v>
      </c>
      <c r="K16" s="66">
        <f>IF(Valor_normalizado!K16=0,32,IFERROR(RANK(Valor_normalizado!K16,Valor_normalizado!K$2:K$33,0),"NA"))</f>
        <v>10</v>
      </c>
      <c r="L16" s="66">
        <f>IF(Valor_normalizado!L16=0,32,IFERROR(RANK(Valor_normalizado!L16,Valor_normalizado!L$2:L$33,0),"NA"))</f>
        <v>14</v>
      </c>
      <c r="M16" s="66">
        <f>IF(Valor_normalizado!M16=0,32,IFERROR(RANK(Valor_normalizado!M16,Valor_normalizado!M$2:M$33,0),"NA"))</f>
        <v>9</v>
      </c>
      <c r="N16" s="66">
        <f>IF(Valor_normalizado!N16=0,32,IFERROR(RANK(Valor_normalizado!N16,Valor_normalizado!N$2:N$33,0),"NA"))</f>
        <v>7</v>
      </c>
      <c r="O16" s="66">
        <f>IF(Valor_normalizado!O16=0,32,IFERROR(RANK(Valor_normalizado!O16,Valor_normalizado!O$2:O$33,0),"NA"))</f>
        <v>16</v>
      </c>
      <c r="P16" s="66">
        <f>IF(Valor_normalizado!P16=0,32,IFERROR(RANK(Valor_normalizado!P16,Valor_normalizado!P$2:P$33,0),"NA"))</f>
        <v>10</v>
      </c>
      <c r="Q16" s="66">
        <f>IF(Valor_normalizado!Q16=0,32,IFERROR(RANK(Valor_normalizado!Q16,Valor_normalizado!Q$2:Q$33,0),"NA"))</f>
        <v>6</v>
      </c>
      <c r="R16" s="66">
        <f>IF(Valor_normalizado!R16=0,32,IFERROR(RANK(Valor_normalizado!R16,Valor_normalizado!R$2:R$33,0),"NA"))</f>
        <v>10</v>
      </c>
      <c r="S16" s="66">
        <f>IF(Valor_normalizado!S16=0,32,IFERROR(RANK(Valor_normalizado!S16,Valor_normalizado!S$2:S$33,0),"NA"))</f>
        <v>20</v>
      </c>
      <c r="T16" s="66">
        <f>IF(Valor_normalizado!T16=0,32,IFERROR(RANK(Valor_normalizado!T16,Valor_normalizado!T$2:T$33,0),"NA"))</f>
        <v>14</v>
      </c>
      <c r="U16" s="66">
        <f>IF(Valor_normalizado!U16=0,32,IFERROR(RANK(Valor_normalizado!U16,Valor_normalizado!U$2:U$33,0),"NA"))</f>
        <v>15</v>
      </c>
      <c r="V16" s="66">
        <f>IF(Valor_normalizado!V16=0,32,IFERROR(RANK(Valor_normalizado!V16,Valor_normalizado!V$2:V$33,0),"NA"))</f>
        <v>19</v>
      </c>
      <c r="W16" s="66">
        <f>IF(Valor_normalizado!W16=0,32,IFERROR(RANK(Valor_normalizado!W16,Valor_normalizado!W$2:W$33,0),"NA"))</f>
        <v>17</v>
      </c>
      <c r="X16" s="66">
        <f>IF(Valor_normalizado!X16=0,32,IFERROR(RANK(Valor_normalizado!X16,Valor_normalizado!X$2:X$33,0),"NA"))</f>
        <v>13</v>
      </c>
      <c r="Y16" s="66">
        <f>IF(Valor_normalizado!Y16=0,32,IFERROR(RANK(Valor_normalizado!Y16,Valor_normalizado!Y$2:Y$33,0),"NA"))</f>
        <v>16</v>
      </c>
    </row>
    <row r="17" ht="14.25" hidden="1" customHeight="1">
      <c r="A17" s="49" t="s">
        <v>331</v>
      </c>
      <c r="B17" s="4">
        <v>2019.0</v>
      </c>
      <c r="C17" s="66">
        <f>IF(Valor_normalizado!C17=0,32,IFERROR(RANK(Valor_normalizado!C17,Valor_normalizado!C$2:C$33,0),"NA"))</f>
        <v>16</v>
      </c>
      <c r="D17" s="66">
        <f>IF(Valor_normalizado!D17=0,32,IFERROR(RANK(Valor_normalizado!D17,Valor_normalizado!D$2:D$33,0),"NA"))</f>
        <v>2</v>
      </c>
      <c r="E17" s="66">
        <f>IF(Valor_normalizado!E17=0,32,IFERROR(RANK(Valor_normalizado!E17,Valor_normalizado!E$2:E$33,0),"NA"))</f>
        <v>8</v>
      </c>
      <c r="F17" s="66">
        <f>IF(Valor_normalizado!F17=0,32,IFERROR(RANK(Valor_normalizado!F17,Valor_normalizado!F$2:F$33,0),"NA"))</f>
        <v>7</v>
      </c>
      <c r="G17" s="66">
        <f>IF(Valor_normalizado!G17=0,32,IFERROR(RANK(Valor_normalizado!G17,Valor_normalizado!G$2:G$33,0),"NA"))</f>
        <v>14</v>
      </c>
      <c r="H17" s="66">
        <f>IF(Valor_normalizado!H17=0,32,IFERROR(RANK(Valor_normalizado!H17,Valor_normalizado!H$2:H$33,0),"NA"))</f>
        <v>13</v>
      </c>
      <c r="I17" s="66">
        <f>IF(Valor_normalizado!I17=0,32,IFERROR(RANK(Valor_normalizado!I17,Valor_normalizado!I$2:I$33,0),"NA"))</f>
        <v>19</v>
      </c>
      <c r="J17" s="66">
        <f>IF(Valor_normalizado!J17=0,32,IFERROR(RANK(Valor_normalizado!J17,Valor_normalizado!J$2:J$33,0),"NA"))</f>
        <v>8</v>
      </c>
      <c r="K17" s="66">
        <f>IF(Valor_normalizado!K17=0,32,IFERROR(RANK(Valor_normalizado!K17,Valor_normalizado!K$2:K$33,0),"NA"))</f>
        <v>9</v>
      </c>
      <c r="L17" s="66">
        <f>IF(Valor_normalizado!L17=0,32,IFERROR(RANK(Valor_normalizado!L17,Valor_normalizado!L$2:L$33,0),"NA"))</f>
        <v>11</v>
      </c>
      <c r="M17" s="66">
        <f>IF(Valor_normalizado!M17=0,32,IFERROR(RANK(Valor_normalizado!M17,Valor_normalizado!M$2:M$33,0),"NA"))</f>
        <v>7</v>
      </c>
      <c r="N17" s="66">
        <f>IF(Valor_normalizado!N17=0,32,IFERROR(RANK(Valor_normalizado!N17,Valor_normalizado!N$2:N$33,0),"NA"))</f>
        <v>6</v>
      </c>
      <c r="O17" s="66">
        <f>IF(Valor_normalizado!O17=0,32,IFERROR(RANK(Valor_normalizado!O17,Valor_normalizado!O$2:O$33,0),"NA"))</f>
        <v>7</v>
      </c>
      <c r="P17" s="66">
        <f>IF(Valor_normalizado!P17=0,32,IFERROR(RANK(Valor_normalizado!P17,Valor_normalizado!P$2:P$33,0),"NA"))</f>
        <v>5</v>
      </c>
      <c r="Q17" s="66">
        <f>IF(Valor_normalizado!Q17=0,32,IFERROR(RANK(Valor_normalizado!Q17,Valor_normalizado!Q$2:Q$33,0),"NA"))</f>
        <v>14</v>
      </c>
      <c r="R17" s="66">
        <f>IF(Valor_normalizado!R17=0,32,IFERROR(RANK(Valor_normalizado!R17,Valor_normalizado!R$2:R$33,0),"NA"))</f>
        <v>7</v>
      </c>
      <c r="S17" s="66">
        <f>IF(Valor_normalizado!S17=0,32,IFERROR(RANK(Valor_normalizado!S17,Valor_normalizado!S$2:S$33,0),"NA"))</f>
        <v>11</v>
      </c>
      <c r="T17" s="66">
        <f>IF(Valor_normalizado!T17=0,32,IFERROR(RANK(Valor_normalizado!T17,Valor_normalizado!T$2:T$33,0),"NA"))</f>
        <v>10</v>
      </c>
      <c r="U17" s="66">
        <f>IF(Valor_normalizado!U17=0,32,IFERROR(RANK(Valor_normalizado!U17,Valor_normalizado!U$2:U$33,0),"NA"))</f>
        <v>12</v>
      </c>
      <c r="V17" s="66">
        <f>IF(Valor_normalizado!V17=0,32,IFERROR(RANK(Valor_normalizado!V17,Valor_normalizado!V$2:V$33,0),"NA"))</f>
        <v>7</v>
      </c>
      <c r="W17" s="66">
        <f>IF(Valor_normalizado!W17=0,32,IFERROR(RANK(Valor_normalizado!W17,Valor_normalizado!W$2:W$33,0),"NA"))</f>
        <v>10</v>
      </c>
      <c r="X17" s="66">
        <f>IF(Valor_normalizado!X17=0,32,IFERROR(RANK(Valor_normalizado!X17,Valor_normalizado!X$2:X$33,0),"NA"))</f>
        <v>9</v>
      </c>
      <c r="Y17" s="66">
        <f>IF(Valor_normalizado!Y17=0,32,IFERROR(RANK(Valor_normalizado!Y17,Valor_normalizado!Y$2:Y$33,0),"NA"))</f>
        <v>8</v>
      </c>
    </row>
    <row r="18" ht="14.25" hidden="1" customHeight="1">
      <c r="A18" s="51" t="s">
        <v>328</v>
      </c>
      <c r="B18" s="4">
        <v>2019.0</v>
      </c>
      <c r="C18" s="66">
        <f>IF(Valor_normalizado!C18=0,32,IFERROR(RANK(Valor_normalizado!C18,Valor_normalizado!C$2:C$33,0),"NA"))</f>
        <v>17</v>
      </c>
      <c r="D18" s="66">
        <f>IF(Valor_normalizado!D18=0,32,IFERROR(RANK(Valor_normalizado!D18,Valor_normalizado!D$2:D$33,0),"NA"))</f>
        <v>14</v>
      </c>
      <c r="E18" s="66">
        <f>IF(Valor_normalizado!E18=0,32,IFERROR(RANK(Valor_normalizado!E18,Valor_normalizado!E$2:E$33,0),"NA"))</f>
        <v>22</v>
      </c>
      <c r="F18" s="66">
        <f>IF(Valor_normalizado!F18=0,32,IFERROR(RANK(Valor_normalizado!F18,Valor_normalizado!F$2:F$33,0),"NA"))</f>
        <v>18</v>
      </c>
      <c r="G18" s="66">
        <f>IF(Valor_normalizado!G18=0,32,IFERROR(RANK(Valor_normalizado!G18,Valor_normalizado!G$2:G$33,0),"NA"))</f>
        <v>17</v>
      </c>
      <c r="H18" s="66">
        <f>IF(Valor_normalizado!H18=0,32,IFERROR(RANK(Valor_normalizado!H18,Valor_normalizado!H$2:H$33,0),"NA"))</f>
        <v>16</v>
      </c>
      <c r="I18" s="66">
        <f>IF(Valor_normalizado!I18=0,32,IFERROR(RANK(Valor_normalizado!I18,Valor_normalizado!I$2:I$33,0),"NA"))</f>
        <v>18</v>
      </c>
      <c r="J18" s="66">
        <f>IF(Valor_normalizado!J18=0,32,IFERROR(RANK(Valor_normalizado!J18,Valor_normalizado!J$2:J$33,0),"NA"))</f>
        <v>18</v>
      </c>
      <c r="K18" s="66">
        <f>IF(Valor_normalizado!K18=0,32,IFERROR(RANK(Valor_normalizado!K18,Valor_normalizado!K$2:K$33,0),"NA"))</f>
        <v>19</v>
      </c>
      <c r="L18" s="66">
        <f>IF(Valor_normalizado!L18=0,32,IFERROR(RANK(Valor_normalizado!L18,Valor_normalizado!L$2:L$33,0),"NA"))</f>
        <v>17</v>
      </c>
      <c r="M18" s="66">
        <f>IF(Valor_normalizado!M18=0,32,IFERROR(RANK(Valor_normalizado!M18,Valor_normalizado!M$2:M$33,0),"NA"))</f>
        <v>19</v>
      </c>
      <c r="N18" s="66">
        <f>IF(Valor_normalizado!N18=0,32,IFERROR(RANK(Valor_normalizado!N18,Valor_normalizado!N$2:N$33,0),"NA"))</f>
        <v>32</v>
      </c>
      <c r="O18" s="66">
        <f>IF(Valor_normalizado!O18=0,32,IFERROR(RANK(Valor_normalizado!O18,Valor_normalizado!O$2:O$33,0),"NA"))</f>
        <v>25</v>
      </c>
      <c r="P18" s="66">
        <f>IF(Valor_normalizado!P18=0,32,IFERROR(RANK(Valor_normalizado!P18,Valor_normalizado!P$2:P$33,0),"NA"))</f>
        <v>14</v>
      </c>
      <c r="Q18" s="66">
        <f>IF(Valor_normalizado!Q18=0,32,IFERROR(RANK(Valor_normalizado!Q18,Valor_normalizado!Q$2:Q$33,0),"NA"))</f>
        <v>2</v>
      </c>
      <c r="R18" s="66">
        <f>IF(Valor_normalizado!R18=0,32,IFERROR(RANK(Valor_normalizado!R18,Valor_normalizado!R$2:R$33,0),"NA"))</f>
        <v>16</v>
      </c>
      <c r="S18" s="66">
        <f>IF(Valor_normalizado!S18=0,32,IFERROR(RANK(Valor_normalizado!S18,Valor_normalizado!S$2:S$33,0),"NA"))</f>
        <v>32</v>
      </c>
      <c r="T18" s="66">
        <f>IF(Valor_normalizado!T18=0,32,IFERROR(RANK(Valor_normalizado!T18,Valor_normalizado!T$2:T$33,0),"NA"))</f>
        <v>32</v>
      </c>
      <c r="U18" s="66">
        <f>IF(Valor_normalizado!U18=0,32,IFERROR(RANK(Valor_normalizado!U18,Valor_normalizado!U$2:U$33,0),"NA"))</f>
        <v>14</v>
      </c>
      <c r="V18" s="66">
        <f>IF(Valor_normalizado!V18=0,32,IFERROR(RANK(Valor_normalizado!V18,Valor_normalizado!V$2:V$33,0),"NA"))</f>
        <v>24</v>
      </c>
      <c r="W18" s="66">
        <f>IF(Valor_normalizado!W18=0,32,IFERROR(RANK(Valor_normalizado!W18,Valor_normalizado!W$2:W$33,0),"NA"))</f>
        <v>22</v>
      </c>
      <c r="X18" s="66">
        <f>IF(Valor_normalizado!X18=0,32,IFERROR(RANK(Valor_normalizado!X18,Valor_normalizado!X$2:X$33,0),"NA"))</f>
        <v>19</v>
      </c>
      <c r="Y18" s="66">
        <f>IF(Valor_normalizado!Y18=0,32,IFERROR(RANK(Valor_normalizado!Y18,Valor_normalizado!Y$2:Y$33,0),"NA"))</f>
        <v>21</v>
      </c>
    </row>
    <row r="19" ht="14.25" hidden="1" customHeight="1">
      <c r="A19" s="49" t="s">
        <v>312</v>
      </c>
      <c r="B19" s="4">
        <v>2019.0</v>
      </c>
      <c r="C19" s="66">
        <f>IF(Valor_normalizado!C19=0,32,IFERROR(RANK(Valor_normalizado!C19,Valor_normalizado!C$2:C$33,0),"NA"))</f>
        <v>18</v>
      </c>
      <c r="D19" s="66">
        <f>IF(Valor_normalizado!D19=0,32,IFERROR(RANK(Valor_normalizado!D19,Valor_normalizado!D$2:D$33,0),"NA"))</f>
        <v>10</v>
      </c>
      <c r="E19" s="66">
        <f>IF(Valor_normalizado!E19=0,32,IFERROR(RANK(Valor_normalizado!E19,Valor_normalizado!E$2:E$33,0),"NA"))</f>
        <v>11</v>
      </c>
      <c r="F19" s="66">
        <f>IF(Valor_normalizado!F19=0,32,IFERROR(RANK(Valor_normalizado!F19,Valor_normalizado!F$2:F$33,0),"NA"))</f>
        <v>12</v>
      </c>
      <c r="G19" s="66">
        <f>IF(Valor_normalizado!G19=0,32,IFERROR(RANK(Valor_normalizado!G19,Valor_normalizado!G$2:G$33,0),"NA"))</f>
        <v>15</v>
      </c>
      <c r="H19" s="66">
        <f>IF(Valor_normalizado!H19=0,32,IFERROR(RANK(Valor_normalizado!H19,Valor_normalizado!H$2:H$33,0),"NA"))</f>
        <v>23</v>
      </c>
      <c r="I19" s="66">
        <f>IF(Valor_normalizado!I19=0,32,IFERROR(RANK(Valor_normalizado!I19,Valor_normalizado!I$2:I$33,0),"NA"))</f>
        <v>27</v>
      </c>
      <c r="J19" s="66">
        <f>IF(Valor_normalizado!J19=0,32,IFERROR(RANK(Valor_normalizado!J19,Valor_normalizado!J$2:J$33,0),"NA"))</f>
        <v>26</v>
      </c>
      <c r="K19" s="66">
        <f>IF(Valor_normalizado!K19=0,32,IFERROR(RANK(Valor_normalizado!K19,Valor_normalizado!K$2:K$33,0),"NA"))</f>
        <v>26</v>
      </c>
      <c r="L19" s="66">
        <f>IF(Valor_normalizado!L19=0,32,IFERROR(RANK(Valor_normalizado!L19,Valor_normalizado!L$2:L$33,0),"NA"))</f>
        <v>20</v>
      </c>
      <c r="M19" s="66">
        <f>IF(Valor_normalizado!M19=0,32,IFERROR(RANK(Valor_normalizado!M19,Valor_normalizado!M$2:M$33,0),"NA"))</f>
        <v>32</v>
      </c>
      <c r="N19" s="66">
        <f>IF(Valor_normalizado!N19=0,32,IFERROR(RANK(Valor_normalizado!N19,Valor_normalizado!N$2:N$33,0),"NA"))</f>
        <v>32</v>
      </c>
      <c r="O19" s="66">
        <f>IF(Valor_normalizado!O19=0,32,IFERROR(RANK(Valor_normalizado!O19,Valor_normalizado!O$2:O$33,0),"NA"))</f>
        <v>27</v>
      </c>
      <c r="P19" s="66">
        <f>IF(Valor_normalizado!P19=0,32,IFERROR(RANK(Valor_normalizado!P19,Valor_normalizado!P$2:P$33,0),"NA"))</f>
        <v>23</v>
      </c>
      <c r="Q19" s="66">
        <f>IF(Valor_normalizado!Q19=0,32,IFERROR(RANK(Valor_normalizado!Q19,Valor_normalizado!Q$2:Q$33,0),"NA"))</f>
        <v>32</v>
      </c>
      <c r="R19" s="66">
        <f>IF(Valor_normalizado!R19=0,32,IFERROR(RANK(Valor_normalizado!R19,Valor_normalizado!R$2:R$33,0),"NA"))</f>
        <v>26</v>
      </c>
      <c r="S19" s="66">
        <f>IF(Valor_normalizado!S19=0,32,IFERROR(RANK(Valor_normalizado!S19,Valor_normalizado!S$2:S$33,0),"NA"))</f>
        <v>32</v>
      </c>
      <c r="T19" s="66">
        <f>IF(Valor_normalizado!T19=0,32,IFERROR(RANK(Valor_normalizado!T19,Valor_normalizado!T$2:T$33,0),"NA"))</f>
        <v>32</v>
      </c>
      <c r="U19" s="66">
        <f>IF(Valor_normalizado!U19=0,32,IFERROR(RANK(Valor_normalizado!U19,Valor_normalizado!U$2:U$33,0),"NA"))</f>
        <v>32</v>
      </c>
      <c r="V19" s="66">
        <f>IF(Valor_normalizado!V19=0,32,IFERROR(RANK(Valor_normalizado!V19,Valor_normalizado!V$2:V$33,0),"NA"))</f>
        <v>23</v>
      </c>
      <c r="W19" s="66">
        <f>IF(Valor_normalizado!W19=0,32,IFERROR(RANK(Valor_normalizado!W19,Valor_normalizado!W$2:W$33,0),"NA"))</f>
        <v>25</v>
      </c>
      <c r="X19" s="66">
        <f>IF(Valor_normalizado!X19=0,32,IFERROR(RANK(Valor_normalizado!X19,Valor_normalizado!X$2:X$33,0),"NA"))</f>
        <v>27</v>
      </c>
      <c r="Y19" s="66">
        <f>IF(Valor_normalizado!Y19=0,32,IFERROR(RANK(Valor_normalizado!Y19,Valor_normalizado!Y$2:Y$33,0),"NA"))</f>
        <v>22</v>
      </c>
    </row>
    <row r="20" ht="14.25" hidden="1" customHeight="1">
      <c r="A20" s="51" t="s">
        <v>314</v>
      </c>
      <c r="B20" s="4">
        <v>2019.0</v>
      </c>
      <c r="C20" s="66">
        <f>IF(Valor_normalizado!C20=0,32,IFERROR(RANK(Valor_normalizado!C20,Valor_normalizado!C$2:C$33,0),"NA"))</f>
        <v>19</v>
      </c>
      <c r="D20" s="66">
        <f>IF(Valor_normalizado!D20=0,32,IFERROR(RANK(Valor_normalizado!D20,Valor_normalizado!D$2:D$33,0),"NA"))</f>
        <v>20</v>
      </c>
      <c r="E20" s="66">
        <f>IF(Valor_normalizado!E20=0,32,IFERROR(RANK(Valor_normalizado!E20,Valor_normalizado!E$2:E$33,0),"NA"))</f>
        <v>26</v>
      </c>
      <c r="F20" s="66">
        <f>IF(Valor_normalizado!F20=0,32,IFERROR(RANK(Valor_normalizado!F20,Valor_normalizado!F$2:F$33,0),"NA"))</f>
        <v>28</v>
      </c>
      <c r="G20" s="66">
        <f>IF(Valor_normalizado!G20=0,32,IFERROR(RANK(Valor_normalizado!G20,Valor_normalizado!G$2:G$33,0),"NA"))</f>
        <v>23</v>
      </c>
      <c r="H20" s="66">
        <f>IF(Valor_normalizado!H20=0,32,IFERROR(RANK(Valor_normalizado!H20,Valor_normalizado!H$2:H$33,0),"NA"))</f>
        <v>25</v>
      </c>
      <c r="I20" s="66">
        <f>IF(Valor_normalizado!I20=0,32,IFERROR(RANK(Valor_normalizado!I20,Valor_normalizado!I$2:I$33,0),"NA"))</f>
        <v>17</v>
      </c>
      <c r="J20" s="66">
        <f>IF(Valor_normalizado!J20=0,32,IFERROR(RANK(Valor_normalizado!J20,Valor_normalizado!J$2:J$33,0),"NA"))</f>
        <v>25</v>
      </c>
      <c r="K20" s="66">
        <f>IF(Valor_normalizado!K20=0,32,IFERROR(RANK(Valor_normalizado!K20,Valor_normalizado!K$2:K$33,0),"NA"))</f>
        <v>23</v>
      </c>
      <c r="L20" s="66">
        <f>IF(Valor_normalizado!L20=0,32,IFERROR(RANK(Valor_normalizado!L20,Valor_normalizado!L$2:L$33,0),"NA"))</f>
        <v>23</v>
      </c>
      <c r="M20" s="66">
        <f>IF(Valor_normalizado!M20=0,32,IFERROR(RANK(Valor_normalizado!M20,Valor_normalizado!M$2:M$33,0),"NA"))</f>
        <v>18</v>
      </c>
      <c r="N20" s="66">
        <f>IF(Valor_normalizado!N20=0,32,IFERROR(RANK(Valor_normalizado!N20,Valor_normalizado!N$2:N$33,0),"NA"))</f>
        <v>32</v>
      </c>
      <c r="O20" s="66">
        <f>IF(Valor_normalizado!O20=0,32,IFERROR(RANK(Valor_normalizado!O20,Valor_normalizado!O$2:O$33,0),"NA"))</f>
        <v>15</v>
      </c>
      <c r="P20" s="66">
        <f>IF(Valor_normalizado!P20=0,32,IFERROR(RANK(Valor_normalizado!P20,Valor_normalizado!P$2:P$33,0),"NA"))</f>
        <v>21</v>
      </c>
      <c r="Q20" s="66">
        <f>IF(Valor_normalizado!Q20=0,32,IFERROR(RANK(Valor_normalizado!Q20,Valor_normalizado!Q$2:Q$33,0),"NA"))</f>
        <v>20</v>
      </c>
      <c r="R20" s="66">
        <f>IF(Valor_normalizado!R20=0,32,IFERROR(RANK(Valor_normalizado!R20,Valor_normalizado!R$2:R$33,0),"NA"))</f>
        <v>22</v>
      </c>
      <c r="S20" s="66">
        <f>IF(Valor_normalizado!S20=0,32,IFERROR(RANK(Valor_normalizado!S20,Valor_normalizado!S$2:S$33,0),"NA"))</f>
        <v>16</v>
      </c>
      <c r="T20" s="66">
        <f>IF(Valor_normalizado!T20=0,32,IFERROR(RANK(Valor_normalizado!T20,Valor_normalizado!T$2:T$33,0),"NA"))</f>
        <v>32</v>
      </c>
      <c r="U20" s="66">
        <f>IF(Valor_normalizado!U20=0,32,IFERROR(RANK(Valor_normalizado!U20,Valor_normalizado!U$2:U$33,0),"NA"))</f>
        <v>32</v>
      </c>
      <c r="V20" s="66">
        <f>IF(Valor_normalizado!V20=0,32,IFERROR(RANK(Valor_normalizado!V20,Valor_normalizado!V$2:V$33,0),"NA"))</f>
        <v>22</v>
      </c>
      <c r="W20" s="66">
        <f>IF(Valor_normalizado!W20=0,32,IFERROR(RANK(Valor_normalizado!W20,Valor_normalizado!W$2:W$33,0),"NA"))</f>
        <v>20</v>
      </c>
      <c r="X20" s="66">
        <f>IF(Valor_normalizado!X20=0,32,IFERROR(RANK(Valor_normalizado!X20,Valor_normalizado!X$2:X$33,0),"NA"))</f>
        <v>23</v>
      </c>
      <c r="Y20" s="66">
        <f>IF(Valor_normalizado!Y20=0,32,IFERROR(RANK(Valor_normalizado!Y20,Valor_normalizado!Y$2:Y$33,0),"NA"))</f>
        <v>23</v>
      </c>
    </row>
    <row r="21" ht="14.25" hidden="1" customHeight="1">
      <c r="A21" s="49" t="s">
        <v>309</v>
      </c>
      <c r="B21" s="4">
        <v>2019.0</v>
      </c>
      <c r="C21" s="66">
        <f>IF(Valor_normalizado!C21=0,32,IFERROR(RANK(Valor_normalizado!C21,Valor_normalizado!C$2:C$33,0),"NA"))</f>
        <v>20</v>
      </c>
      <c r="D21" s="66">
        <f>IF(Valor_normalizado!D21=0,32,IFERROR(RANK(Valor_normalizado!D21,Valor_normalizado!D$2:D$33,0),"NA"))</f>
        <v>11</v>
      </c>
      <c r="E21" s="66">
        <f>IF(Valor_normalizado!E21=0,32,IFERROR(RANK(Valor_normalizado!E21,Valor_normalizado!E$2:E$33,0),"NA"))</f>
        <v>16</v>
      </c>
      <c r="F21" s="66">
        <f>IF(Valor_normalizado!F21=0,32,IFERROR(RANK(Valor_normalizado!F21,Valor_normalizado!F$2:F$33,0),"NA"))</f>
        <v>15</v>
      </c>
      <c r="G21" s="66">
        <f>IF(Valor_normalizado!G21=0,32,IFERROR(RANK(Valor_normalizado!G21,Valor_normalizado!G$2:G$33,0),"NA"))</f>
        <v>16</v>
      </c>
      <c r="H21" s="66">
        <f>IF(Valor_normalizado!H21=0,32,IFERROR(RANK(Valor_normalizado!H21,Valor_normalizado!H$2:H$33,0),"NA"))</f>
        <v>19</v>
      </c>
      <c r="I21" s="66">
        <f>IF(Valor_normalizado!I21=0,32,IFERROR(RANK(Valor_normalizado!I21,Valor_normalizado!I$2:I$33,0),"NA"))</f>
        <v>15</v>
      </c>
      <c r="J21" s="66">
        <f>IF(Valor_normalizado!J21=0,32,IFERROR(RANK(Valor_normalizado!J21,Valor_normalizado!J$2:J$33,0),"NA"))</f>
        <v>13</v>
      </c>
      <c r="K21" s="66">
        <f>IF(Valor_normalizado!K21=0,32,IFERROR(RANK(Valor_normalizado!K21,Valor_normalizado!K$2:K$33,0),"NA"))</f>
        <v>15</v>
      </c>
      <c r="L21" s="66">
        <f>IF(Valor_normalizado!L21=0,32,IFERROR(RANK(Valor_normalizado!L21,Valor_normalizado!L$2:L$33,0),"NA"))</f>
        <v>15</v>
      </c>
      <c r="M21" s="66">
        <f>IF(Valor_normalizado!M21=0,32,IFERROR(RANK(Valor_normalizado!M21,Valor_normalizado!M$2:M$33,0),"NA"))</f>
        <v>21</v>
      </c>
      <c r="N21" s="66">
        <f>IF(Valor_normalizado!N21=0,32,IFERROR(RANK(Valor_normalizado!N21,Valor_normalizado!N$2:N$33,0),"NA"))</f>
        <v>11</v>
      </c>
      <c r="O21" s="66">
        <f>IF(Valor_normalizado!O21=0,32,IFERROR(RANK(Valor_normalizado!O21,Valor_normalizado!O$2:O$33,0),"NA"))</f>
        <v>22</v>
      </c>
      <c r="P21" s="66">
        <f>IF(Valor_normalizado!P21=0,32,IFERROR(RANK(Valor_normalizado!P21,Valor_normalizado!P$2:P$33,0),"NA"))</f>
        <v>19</v>
      </c>
      <c r="Q21" s="66">
        <f>IF(Valor_normalizado!Q21=0,32,IFERROR(RANK(Valor_normalizado!Q21,Valor_normalizado!Q$2:Q$33,0),"NA"))</f>
        <v>5</v>
      </c>
      <c r="R21" s="66">
        <f>IF(Valor_normalizado!R21=0,32,IFERROR(RANK(Valor_normalizado!R21,Valor_normalizado!R$2:R$33,0),"NA"))</f>
        <v>18</v>
      </c>
      <c r="S21" s="66">
        <f>IF(Valor_normalizado!S21=0,32,IFERROR(RANK(Valor_normalizado!S21,Valor_normalizado!S$2:S$33,0),"NA"))</f>
        <v>17</v>
      </c>
      <c r="T21" s="66">
        <f>IF(Valor_normalizado!T21=0,32,IFERROR(RANK(Valor_normalizado!T21,Valor_normalizado!T$2:T$33,0),"NA"))</f>
        <v>9</v>
      </c>
      <c r="U21" s="66">
        <f>IF(Valor_normalizado!U21=0,32,IFERROR(RANK(Valor_normalizado!U21,Valor_normalizado!U$2:U$33,0),"NA"))</f>
        <v>11</v>
      </c>
      <c r="V21" s="66">
        <f>IF(Valor_normalizado!V21=0,32,IFERROR(RANK(Valor_normalizado!V21,Valor_normalizado!V$2:V$33,0),"NA"))</f>
        <v>13</v>
      </c>
      <c r="W21" s="66">
        <f>IF(Valor_normalizado!W21=0,32,IFERROR(RANK(Valor_normalizado!W21,Valor_normalizado!W$2:W$33,0),"NA"))</f>
        <v>13</v>
      </c>
      <c r="X21" s="66">
        <f>IF(Valor_normalizado!X21=0,32,IFERROR(RANK(Valor_normalizado!X21,Valor_normalizado!X$2:X$33,0),"NA"))</f>
        <v>16</v>
      </c>
      <c r="Y21" s="66">
        <f>IF(Valor_normalizado!Y21=0,32,IFERROR(RANK(Valor_normalizado!Y21,Valor_normalizado!Y$2:Y$33,0),"NA"))</f>
        <v>17</v>
      </c>
    </row>
    <row r="22" ht="14.25" hidden="1" customHeight="1">
      <c r="A22" s="51" t="s">
        <v>316</v>
      </c>
      <c r="B22" s="4">
        <v>2019.0</v>
      </c>
      <c r="C22" s="66">
        <f>IF(Valor_normalizado!C22=0,32,IFERROR(RANK(Valor_normalizado!C22,Valor_normalizado!C$2:C$33,0),"NA"))</f>
        <v>21</v>
      </c>
      <c r="D22" s="66">
        <f>IF(Valor_normalizado!D22=0,32,IFERROR(RANK(Valor_normalizado!D22,Valor_normalizado!D$2:D$33,0),"NA"))</f>
        <v>26</v>
      </c>
      <c r="E22" s="66">
        <f>IF(Valor_normalizado!E22=0,32,IFERROR(RANK(Valor_normalizado!E22,Valor_normalizado!E$2:E$33,0),"NA"))</f>
        <v>27</v>
      </c>
      <c r="F22" s="66">
        <f>IF(Valor_normalizado!F22=0,32,IFERROR(RANK(Valor_normalizado!F22,Valor_normalizado!F$2:F$33,0),"NA"))</f>
        <v>26</v>
      </c>
      <c r="G22" s="66">
        <f>IF(Valor_normalizado!G22=0,32,IFERROR(RANK(Valor_normalizado!G22,Valor_normalizado!G$2:G$33,0),"NA"))</f>
        <v>25</v>
      </c>
      <c r="H22" s="66">
        <f>IF(Valor_normalizado!H22=0,32,IFERROR(RANK(Valor_normalizado!H22,Valor_normalizado!H$2:H$33,0),"NA"))</f>
        <v>20</v>
      </c>
      <c r="I22" s="66">
        <f>IF(Valor_normalizado!I22=0,32,IFERROR(RANK(Valor_normalizado!I22,Valor_normalizado!I$2:I$33,0),"NA"))</f>
        <v>26</v>
      </c>
      <c r="J22" s="66">
        <f>IF(Valor_normalizado!J22=0,32,IFERROR(RANK(Valor_normalizado!J22,Valor_normalizado!J$2:J$33,0),"NA"))</f>
        <v>26</v>
      </c>
      <c r="K22" s="66">
        <f>IF(Valor_normalizado!K22=0,32,IFERROR(RANK(Valor_normalizado!K22,Valor_normalizado!K$2:K$33,0),"NA"))</f>
        <v>25</v>
      </c>
      <c r="L22" s="66">
        <f>IF(Valor_normalizado!L22=0,32,IFERROR(RANK(Valor_normalizado!L22,Valor_normalizado!L$2:L$33,0),"NA"))</f>
        <v>26</v>
      </c>
      <c r="M22" s="66">
        <f>IF(Valor_normalizado!M22=0,32,IFERROR(RANK(Valor_normalizado!M22,Valor_normalizado!M$2:M$33,0),"NA"))</f>
        <v>22</v>
      </c>
      <c r="N22" s="66">
        <f>IF(Valor_normalizado!N22=0,32,IFERROR(RANK(Valor_normalizado!N22,Valor_normalizado!N$2:N$33,0),"NA"))</f>
        <v>32</v>
      </c>
      <c r="O22" s="66">
        <f>IF(Valor_normalizado!O22=0,32,IFERROR(RANK(Valor_normalizado!O22,Valor_normalizado!O$2:O$33,0),"NA"))</f>
        <v>24</v>
      </c>
      <c r="P22" s="66">
        <f>IF(Valor_normalizado!P22=0,32,IFERROR(RANK(Valor_normalizado!P22,Valor_normalizado!P$2:P$33,0),"NA"))</f>
        <v>32</v>
      </c>
      <c r="Q22" s="66">
        <f>IF(Valor_normalizado!Q22=0,32,IFERROR(RANK(Valor_normalizado!Q22,Valor_normalizado!Q$2:Q$33,0),"NA"))</f>
        <v>3</v>
      </c>
      <c r="R22" s="66">
        <f>IF(Valor_normalizado!R22=0,32,IFERROR(RANK(Valor_normalizado!R22,Valor_normalizado!R$2:R$33,0),"NA"))</f>
        <v>24</v>
      </c>
      <c r="S22" s="66">
        <f>IF(Valor_normalizado!S22=0,32,IFERROR(RANK(Valor_normalizado!S22,Valor_normalizado!S$2:S$33,0),"NA"))</f>
        <v>32</v>
      </c>
      <c r="T22" s="66">
        <f>IF(Valor_normalizado!T22=0,32,IFERROR(RANK(Valor_normalizado!T22,Valor_normalizado!T$2:T$33,0),"NA"))</f>
        <v>32</v>
      </c>
      <c r="U22" s="66">
        <f>IF(Valor_normalizado!U22=0,32,IFERROR(RANK(Valor_normalizado!U22,Valor_normalizado!U$2:U$33,0),"NA"))</f>
        <v>32</v>
      </c>
      <c r="V22" s="66">
        <f>IF(Valor_normalizado!V22=0,32,IFERROR(RANK(Valor_normalizado!V22,Valor_normalizado!V$2:V$33,0),"NA"))</f>
        <v>20</v>
      </c>
      <c r="W22" s="66">
        <f>IF(Valor_normalizado!W22=0,32,IFERROR(RANK(Valor_normalizado!W22,Valor_normalizado!W$2:W$33,0),"NA"))</f>
        <v>24</v>
      </c>
      <c r="X22" s="66">
        <f>IF(Valor_normalizado!X22=0,32,IFERROR(RANK(Valor_normalizado!X22,Valor_normalizado!X$2:X$33,0),"NA"))</f>
        <v>25</v>
      </c>
      <c r="Y22" s="66">
        <f>IF(Valor_normalizado!Y22=0,32,IFERROR(RANK(Valor_normalizado!Y22,Valor_normalizado!Y$2:Y$33,0),"NA"))</f>
        <v>26</v>
      </c>
    </row>
    <row r="23" ht="14.25" hidden="1" customHeight="1">
      <c r="A23" s="49" t="s">
        <v>333</v>
      </c>
      <c r="B23" s="4">
        <v>2019.0</v>
      </c>
      <c r="C23" s="66">
        <f>IF(Valor_normalizado!C23=0,32,IFERROR(RANK(Valor_normalizado!C23,Valor_normalizado!C$2:C$33,0),"NA"))</f>
        <v>22</v>
      </c>
      <c r="D23" s="66">
        <f>IF(Valor_normalizado!D23=0,32,IFERROR(RANK(Valor_normalizado!D23,Valor_normalizado!D$2:D$33,0),"NA"))</f>
        <v>24</v>
      </c>
      <c r="E23" s="66">
        <f>IF(Valor_normalizado!E23=0,32,IFERROR(RANK(Valor_normalizado!E23,Valor_normalizado!E$2:E$33,0),"NA"))</f>
        <v>31</v>
      </c>
      <c r="F23" s="66">
        <f>IF(Valor_normalizado!F23=0,32,IFERROR(RANK(Valor_normalizado!F23,Valor_normalizado!F$2:F$33,0),"NA"))</f>
        <v>24</v>
      </c>
      <c r="G23" s="66">
        <f>IF(Valor_normalizado!G23=0,32,IFERROR(RANK(Valor_normalizado!G23,Valor_normalizado!G$2:G$33,0),"NA"))</f>
        <v>26</v>
      </c>
      <c r="H23" s="66">
        <f>IF(Valor_normalizado!H23=0,32,IFERROR(RANK(Valor_normalizado!H23,Valor_normalizado!H$2:H$33,0),"NA"))</f>
        <v>21</v>
      </c>
      <c r="I23" s="66">
        <f>IF(Valor_normalizado!I23=0,32,IFERROR(RANK(Valor_normalizado!I23,Valor_normalizado!I$2:I$33,0),"NA"))</f>
        <v>22</v>
      </c>
      <c r="J23" s="66">
        <f>IF(Valor_normalizado!J23=0,32,IFERROR(RANK(Valor_normalizado!J23,Valor_normalizado!J$2:J$33,0),"NA"))</f>
        <v>16</v>
      </c>
      <c r="K23" s="66">
        <f>IF(Valor_normalizado!K23=0,32,IFERROR(RANK(Valor_normalizado!K23,Valor_normalizado!K$2:K$33,0),"NA"))</f>
        <v>22</v>
      </c>
      <c r="L23" s="66">
        <f>IF(Valor_normalizado!L23=0,32,IFERROR(RANK(Valor_normalizado!L23,Valor_normalizado!L$2:L$33,0),"NA"))</f>
        <v>24</v>
      </c>
      <c r="M23" s="66">
        <f>IF(Valor_normalizado!M23=0,32,IFERROR(RANK(Valor_normalizado!M23,Valor_normalizado!M$2:M$33,0),"NA"))</f>
        <v>11</v>
      </c>
      <c r="N23" s="66">
        <f>IF(Valor_normalizado!N23=0,32,IFERROR(RANK(Valor_normalizado!N23,Valor_normalizado!N$2:N$33,0),"NA"))</f>
        <v>32</v>
      </c>
      <c r="O23" s="66">
        <f>IF(Valor_normalizado!O23=0,32,IFERROR(RANK(Valor_normalizado!O23,Valor_normalizado!O$2:O$33,0),"NA"))</f>
        <v>12</v>
      </c>
      <c r="P23" s="66">
        <f>IF(Valor_normalizado!P23=0,32,IFERROR(RANK(Valor_normalizado!P23,Valor_normalizado!P$2:P$33,0),"NA"))</f>
        <v>3</v>
      </c>
      <c r="Q23" s="66">
        <f>IF(Valor_normalizado!Q23=0,32,IFERROR(RANK(Valor_normalizado!Q23,Valor_normalizado!Q$2:Q$33,0),"NA"))</f>
        <v>23</v>
      </c>
      <c r="R23" s="66">
        <f>IF(Valor_normalizado!R23=0,32,IFERROR(RANK(Valor_normalizado!R23,Valor_normalizado!R$2:R$33,0),"NA"))</f>
        <v>14</v>
      </c>
      <c r="S23" s="66">
        <f>IF(Valor_normalizado!S23=0,32,IFERROR(RANK(Valor_normalizado!S23,Valor_normalizado!S$2:S$33,0),"NA"))</f>
        <v>32</v>
      </c>
      <c r="T23" s="66">
        <f>IF(Valor_normalizado!T23=0,32,IFERROR(RANK(Valor_normalizado!T23,Valor_normalizado!T$2:T$33,0),"NA"))</f>
        <v>32</v>
      </c>
      <c r="U23" s="66">
        <f>IF(Valor_normalizado!U23=0,32,IFERROR(RANK(Valor_normalizado!U23,Valor_normalizado!U$2:U$33,0),"NA"))</f>
        <v>32</v>
      </c>
      <c r="V23" s="66">
        <f>IF(Valor_normalizado!V23=0,32,IFERROR(RANK(Valor_normalizado!V23,Valor_normalizado!V$2:V$33,0),"NA"))</f>
        <v>27</v>
      </c>
      <c r="W23" s="66">
        <f>IF(Valor_normalizado!W23=0,32,IFERROR(RANK(Valor_normalizado!W23,Valor_normalizado!W$2:W$33,0),"NA"))</f>
        <v>27</v>
      </c>
      <c r="X23" s="66">
        <f>IF(Valor_normalizado!X23=0,32,IFERROR(RANK(Valor_normalizado!X23,Valor_normalizado!X$2:X$33,0),"NA"))</f>
        <v>17</v>
      </c>
      <c r="Y23" s="66">
        <f>IF(Valor_normalizado!Y23=0,32,IFERROR(RANK(Valor_normalizado!Y23,Valor_normalizado!Y$2:Y$33,0),"NA"))</f>
        <v>25</v>
      </c>
    </row>
    <row r="24" ht="14.25" hidden="1" customHeight="1">
      <c r="A24" s="51" t="s">
        <v>325</v>
      </c>
      <c r="B24" s="4">
        <v>2019.0</v>
      </c>
      <c r="C24" s="66">
        <f>IF(Valor_normalizado!C24=0,32,IFERROR(RANK(Valor_normalizado!C24,Valor_normalizado!C$2:C$33,0),"NA"))</f>
        <v>23</v>
      </c>
      <c r="D24" s="66">
        <f>IF(Valor_normalizado!D24=0,32,IFERROR(RANK(Valor_normalizado!D24,Valor_normalizado!D$2:D$33,0),"NA"))</f>
        <v>23</v>
      </c>
      <c r="E24" s="66">
        <f>IF(Valor_normalizado!E24=0,32,IFERROR(RANK(Valor_normalizado!E24,Valor_normalizado!E$2:E$33,0),"NA"))</f>
        <v>19</v>
      </c>
      <c r="F24" s="66">
        <f>IF(Valor_normalizado!F24=0,32,IFERROR(RANK(Valor_normalizado!F24,Valor_normalizado!F$2:F$33,0),"NA"))</f>
        <v>21</v>
      </c>
      <c r="G24" s="66">
        <f>IF(Valor_normalizado!G24=0,32,IFERROR(RANK(Valor_normalizado!G24,Valor_normalizado!G$2:G$33,0),"NA"))</f>
        <v>21</v>
      </c>
      <c r="H24" s="66">
        <f>IF(Valor_normalizado!H24=0,32,IFERROR(RANK(Valor_normalizado!H24,Valor_normalizado!H$2:H$33,0),"NA"))</f>
        <v>24</v>
      </c>
      <c r="I24" s="66">
        <f>IF(Valor_normalizado!I24=0,32,IFERROR(RANK(Valor_normalizado!I24,Valor_normalizado!I$2:I$33,0),"NA"))</f>
        <v>23</v>
      </c>
      <c r="J24" s="66">
        <f>IF(Valor_normalizado!J24=0,32,IFERROR(RANK(Valor_normalizado!J24,Valor_normalizado!J$2:J$33,0),"NA"))</f>
        <v>6</v>
      </c>
      <c r="K24" s="66">
        <f>IF(Valor_normalizado!K24=0,32,IFERROR(RANK(Valor_normalizado!K24,Valor_normalizado!K$2:K$33,0),"NA"))</f>
        <v>14</v>
      </c>
      <c r="L24" s="66">
        <f>IF(Valor_normalizado!L24=0,32,IFERROR(RANK(Valor_normalizado!L24,Valor_normalizado!L$2:L$33,0),"NA"))</f>
        <v>18</v>
      </c>
      <c r="M24" s="66">
        <f>IF(Valor_normalizado!M24=0,32,IFERROR(RANK(Valor_normalizado!M24,Valor_normalizado!M$2:M$33,0),"NA"))</f>
        <v>32</v>
      </c>
      <c r="N24" s="66">
        <f>IF(Valor_normalizado!N24=0,32,IFERROR(RANK(Valor_normalizado!N24,Valor_normalizado!N$2:N$33,0),"NA"))</f>
        <v>32</v>
      </c>
      <c r="O24" s="66">
        <f>IF(Valor_normalizado!O24=0,32,IFERROR(RANK(Valor_normalizado!O24,Valor_normalizado!O$2:O$33,0),"NA"))</f>
        <v>20</v>
      </c>
      <c r="P24" s="66">
        <f>IF(Valor_normalizado!P24=0,32,IFERROR(RANK(Valor_normalizado!P24,Valor_normalizado!P$2:P$33,0),"NA"))</f>
        <v>10</v>
      </c>
      <c r="Q24" s="66">
        <f>IF(Valor_normalizado!Q24=0,32,IFERROR(RANK(Valor_normalizado!Q24,Valor_normalizado!Q$2:Q$33,0),"NA"))</f>
        <v>22</v>
      </c>
      <c r="R24" s="66">
        <f>IF(Valor_normalizado!R24=0,32,IFERROR(RANK(Valor_normalizado!R24,Valor_normalizado!R$2:R$33,0),"NA"))</f>
        <v>20</v>
      </c>
      <c r="S24" s="66">
        <f>IF(Valor_normalizado!S24=0,32,IFERROR(RANK(Valor_normalizado!S24,Valor_normalizado!S$2:S$33,0),"NA"))</f>
        <v>12</v>
      </c>
      <c r="T24" s="66">
        <f>IF(Valor_normalizado!T24=0,32,IFERROR(RANK(Valor_normalizado!T24,Valor_normalizado!T$2:T$33,0),"NA"))</f>
        <v>32</v>
      </c>
      <c r="U24" s="66">
        <f>IF(Valor_normalizado!U24=0,32,IFERROR(RANK(Valor_normalizado!U24,Valor_normalizado!U$2:U$33,0),"NA"))</f>
        <v>32</v>
      </c>
      <c r="V24" s="66">
        <f>IF(Valor_normalizado!V24=0,32,IFERROR(RANK(Valor_normalizado!V24,Valor_normalizado!V$2:V$33,0),"NA"))</f>
        <v>25</v>
      </c>
      <c r="W24" s="66">
        <f>IF(Valor_normalizado!W24=0,32,IFERROR(RANK(Valor_normalizado!W24,Valor_normalizado!W$2:W$33,0),"NA"))</f>
        <v>19</v>
      </c>
      <c r="X24" s="66">
        <f>IF(Valor_normalizado!X24=0,32,IFERROR(RANK(Valor_normalizado!X24,Valor_normalizado!X$2:X$33,0),"NA"))</f>
        <v>22</v>
      </c>
      <c r="Y24" s="66">
        <f>IF(Valor_normalizado!Y24=0,32,IFERROR(RANK(Valor_normalizado!Y24,Valor_normalizado!Y$2:Y$33,0),"NA"))</f>
        <v>20</v>
      </c>
    </row>
    <row r="25" ht="14.25" hidden="1" customHeight="1">
      <c r="A25" s="49" t="s">
        <v>326</v>
      </c>
      <c r="B25" s="4">
        <v>2019.0</v>
      </c>
      <c r="C25" s="66">
        <f>IF(Valor_normalizado!C25=0,32,IFERROR(RANK(Valor_normalizado!C25,Valor_normalizado!C$2:C$33,0),"NA"))</f>
        <v>24</v>
      </c>
      <c r="D25" s="66">
        <f>IF(Valor_normalizado!D25=0,32,IFERROR(RANK(Valor_normalizado!D25,Valor_normalizado!D$2:D$33,0),"NA"))</f>
        <v>18</v>
      </c>
      <c r="E25" s="66">
        <f>IF(Valor_normalizado!E25=0,32,IFERROR(RANK(Valor_normalizado!E25,Valor_normalizado!E$2:E$33,0),"NA"))</f>
        <v>25</v>
      </c>
      <c r="F25" s="66">
        <f>IF(Valor_normalizado!F25=0,32,IFERROR(RANK(Valor_normalizado!F25,Valor_normalizado!F$2:F$33,0),"NA"))</f>
        <v>25</v>
      </c>
      <c r="G25" s="66">
        <f>IF(Valor_normalizado!G25=0,32,IFERROR(RANK(Valor_normalizado!G25,Valor_normalizado!G$2:G$33,0),"NA"))</f>
        <v>24</v>
      </c>
      <c r="H25" s="66">
        <f>IF(Valor_normalizado!H25=0,32,IFERROR(RANK(Valor_normalizado!H25,Valor_normalizado!H$2:H$33,0),"NA"))</f>
        <v>18</v>
      </c>
      <c r="I25" s="66">
        <f>IF(Valor_normalizado!I25=0,32,IFERROR(RANK(Valor_normalizado!I25,Valor_normalizado!I$2:I$33,0),"NA"))</f>
        <v>20</v>
      </c>
      <c r="J25" s="66">
        <f>IF(Valor_normalizado!J25=0,32,IFERROR(RANK(Valor_normalizado!J25,Valor_normalizado!J$2:J$33,0),"NA"))</f>
        <v>22</v>
      </c>
      <c r="K25" s="66">
        <f>IF(Valor_normalizado!K25=0,32,IFERROR(RANK(Valor_normalizado!K25,Valor_normalizado!K$2:K$33,0),"NA"))</f>
        <v>20</v>
      </c>
      <c r="L25" s="66">
        <f>IF(Valor_normalizado!L25=0,32,IFERROR(RANK(Valor_normalizado!L25,Valor_normalizado!L$2:L$33,0),"NA"))</f>
        <v>22</v>
      </c>
      <c r="M25" s="66">
        <f>IF(Valor_normalizado!M25=0,32,IFERROR(RANK(Valor_normalizado!M25,Valor_normalizado!M$2:M$33,0),"NA"))</f>
        <v>14</v>
      </c>
      <c r="N25" s="66">
        <f>IF(Valor_normalizado!N25=0,32,IFERROR(RANK(Valor_normalizado!N25,Valor_normalizado!N$2:N$33,0),"NA"))</f>
        <v>13</v>
      </c>
      <c r="O25" s="66">
        <f>IF(Valor_normalizado!O25=0,32,IFERROR(RANK(Valor_normalizado!O25,Valor_normalizado!O$2:O$33,0),"NA"))</f>
        <v>17</v>
      </c>
      <c r="P25" s="66">
        <f>IF(Valor_normalizado!P25=0,32,IFERROR(RANK(Valor_normalizado!P25,Valor_normalizado!P$2:P$33,0),"NA"))</f>
        <v>8</v>
      </c>
      <c r="Q25" s="66">
        <f>IF(Valor_normalizado!Q25=0,32,IFERROR(RANK(Valor_normalizado!Q25,Valor_normalizado!Q$2:Q$33,0),"NA"))</f>
        <v>7</v>
      </c>
      <c r="R25" s="66">
        <f>IF(Valor_normalizado!R25=0,32,IFERROR(RANK(Valor_normalizado!R25,Valor_normalizado!R$2:R$33,0),"NA"))</f>
        <v>12</v>
      </c>
      <c r="S25" s="66">
        <f>IF(Valor_normalizado!S25=0,32,IFERROR(RANK(Valor_normalizado!S25,Valor_normalizado!S$2:S$33,0),"NA"))</f>
        <v>19</v>
      </c>
      <c r="T25" s="66">
        <f>IF(Valor_normalizado!T25=0,32,IFERROR(RANK(Valor_normalizado!T25,Valor_normalizado!T$2:T$33,0),"NA"))</f>
        <v>13</v>
      </c>
      <c r="U25" s="66">
        <f>IF(Valor_normalizado!U25=0,32,IFERROR(RANK(Valor_normalizado!U25,Valor_normalizado!U$2:U$33,0),"NA"))</f>
        <v>32</v>
      </c>
      <c r="V25" s="66">
        <f>IF(Valor_normalizado!V25=0,32,IFERROR(RANK(Valor_normalizado!V25,Valor_normalizado!V$2:V$33,0),"NA"))</f>
        <v>21</v>
      </c>
      <c r="W25" s="66">
        <f>IF(Valor_normalizado!W25=0,32,IFERROR(RANK(Valor_normalizado!W25,Valor_normalizado!W$2:W$33,0),"NA"))</f>
        <v>18</v>
      </c>
      <c r="X25" s="66">
        <f>IF(Valor_normalizado!X25=0,32,IFERROR(RANK(Valor_normalizado!X25,Valor_normalizado!X$2:X$33,0),"NA"))</f>
        <v>15</v>
      </c>
      <c r="Y25" s="66">
        <f>IF(Valor_normalizado!Y25=0,32,IFERROR(RANK(Valor_normalizado!Y25,Valor_normalizado!Y$2:Y$33,0),"NA"))</f>
        <v>18</v>
      </c>
    </row>
    <row r="26" ht="14.25" hidden="1" customHeight="1">
      <c r="A26" s="51" t="s">
        <v>330</v>
      </c>
      <c r="B26" s="4">
        <v>2019.0</v>
      </c>
      <c r="C26" s="66">
        <f>IF(Valor_normalizado!C26=0,32,IFERROR(RANK(Valor_normalizado!C26,Valor_normalizado!C$2:C$33,0),"NA"))</f>
        <v>25</v>
      </c>
      <c r="D26" s="66">
        <f>IF(Valor_normalizado!D26=0,32,IFERROR(RANK(Valor_normalizado!D26,Valor_normalizado!D$2:D$33,0),"NA"))</f>
        <v>25</v>
      </c>
      <c r="E26" s="66">
        <f>IF(Valor_normalizado!E26=0,32,IFERROR(RANK(Valor_normalizado!E26,Valor_normalizado!E$2:E$33,0),"NA"))</f>
        <v>30</v>
      </c>
      <c r="F26" s="66">
        <f>IF(Valor_normalizado!F26=0,32,IFERROR(RANK(Valor_normalizado!F26,Valor_normalizado!F$2:F$33,0),"NA"))</f>
        <v>20</v>
      </c>
      <c r="G26" s="66">
        <f>IF(Valor_normalizado!G26=0,32,IFERROR(RANK(Valor_normalizado!G26,Valor_normalizado!G$2:G$33,0),"NA"))</f>
        <v>27</v>
      </c>
      <c r="H26" s="66">
        <f>IF(Valor_normalizado!H26=0,32,IFERROR(RANK(Valor_normalizado!H26,Valor_normalizado!H$2:H$33,0),"NA"))</f>
        <v>30</v>
      </c>
      <c r="I26" s="66">
        <f>IF(Valor_normalizado!I26=0,32,IFERROR(RANK(Valor_normalizado!I26,Valor_normalizado!I$2:I$33,0),"NA"))</f>
        <v>24</v>
      </c>
      <c r="J26" s="66">
        <f>IF(Valor_normalizado!J26=0,32,IFERROR(RANK(Valor_normalizado!J26,Valor_normalizado!J$2:J$33,0),"NA"))</f>
        <v>29</v>
      </c>
      <c r="K26" s="66">
        <f>IF(Valor_normalizado!K26=0,32,IFERROR(RANK(Valor_normalizado!K26,Valor_normalizado!K$2:K$33,0),"NA"))</f>
        <v>30</v>
      </c>
      <c r="L26" s="66">
        <f>IF(Valor_normalizado!L26=0,32,IFERROR(RANK(Valor_normalizado!L26,Valor_normalizado!L$2:L$33,0),"NA"))</f>
        <v>29</v>
      </c>
      <c r="M26" s="66">
        <f>IF(Valor_normalizado!M26=0,32,IFERROR(RANK(Valor_normalizado!M26,Valor_normalizado!M$2:M$33,0),"NA"))</f>
        <v>32</v>
      </c>
      <c r="N26" s="66">
        <f>IF(Valor_normalizado!N26=0,32,IFERROR(RANK(Valor_normalizado!N26,Valor_normalizado!N$2:N$33,0),"NA"))</f>
        <v>32</v>
      </c>
      <c r="O26" s="66">
        <f>IF(Valor_normalizado!O26=0,32,IFERROR(RANK(Valor_normalizado!O26,Valor_normalizado!O$2:O$33,0),"NA"))</f>
        <v>28</v>
      </c>
      <c r="P26" s="66">
        <f>IF(Valor_normalizado!P26=0,32,IFERROR(RANK(Valor_normalizado!P26,Valor_normalizado!P$2:P$33,0),"NA"))</f>
        <v>32</v>
      </c>
      <c r="Q26" s="66">
        <f>IF(Valor_normalizado!Q26=0,32,IFERROR(RANK(Valor_normalizado!Q26,Valor_normalizado!Q$2:Q$33,0),"NA"))</f>
        <v>32</v>
      </c>
      <c r="R26" s="66">
        <f>IF(Valor_normalizado!R26=0,32,IFERROR(RANK(Valor_normalizado!R26,Valor_normalizado!R$2:R$33,0),"NA"))</f>
        <v>28</v>
      </c>
      <c r="S26" s="66">
        <f>IF(Valor_normalizado!S26=0,32,IFERROR(RANK(Valor_normalizado!S26,Valor_normalizado!S$2:S$33,0),"NA"))</f>
        <v>32</v>
      </c>
      <c r="T26" s="66">
        <f>IF(Valor_normalizado!T26=0,32,IFERROR(RANK(Valor_normalizado!T26,Valor_normalizado!T$2:T$33,0),"NA"))</f>
        <v>32</v>
      </c>
      <c r="U26" s="66">
        <f>IF(Valor_normalizado!U26=0,32,IFERROR(RANK(Valor_normalizado!U26,Valor_normalizado!U$2:U$33,0),"NA"))</f>
        <v>32</v>
      </c>
      <c r="V26" s="66">
        <f>IF(Valor_normalizado!V26=0,32,IFERROR(RANK(Valor_normalizado!V26,Valor_normalizado!V$2:V$33,0),"NA"))</f>
        <v>28</v>
      </c>
      <c r="W26" s="66">
        <f>IF(Valor_normalizado!W26=0,32,IFERROR(RANK(Valor_normalizado!W26,Valor_normalizado!W$2:W$33,0),"NA"))</f>
        <v>28</v>
      </c>
      <c r="X26" s="66">
        <f>IF(Valor_normalizado!X26=0,32,IFERROR(RANK(Valor_normalizado!X26,Valor_normalizado!X$2:X$33,0),"NA"))</f>
        <v>29</v>
      </c>
      <c r="Y26" s="66">
        <f>IF(Valor_normalizado!Y26=0,32,IFERROR(RANK(Valor_normalizado!Y26,Valor_normalizado!Y$2:Y$33,0),"NA"))</f>
        <v>27</v>
      </c>
    </row>
    <row r="27" ht="14.25" hidden="1" customHeight="1">
      <c r="A27" s="49" t="s">
        <v>332</v>
      </c>
      <c r="B27" s="4">
        <v>2019.0</v>
      </c>
      <c r="C27" s="66">
        <f>IF(Valor_normalizado!C27=0,32,IFERROR(RANK(Valor_normalizado!C27,Valor_normalizado!C$2:C$33,0),"NA"))</f>
        <v>26</v>
      </c>
      <c r="D27" s="66">
        <f>IF(Valor_normalizado!D27=0,32,IFERROR(RANK(Valor_normalizado!D27,Valor_normalizado!D$2:D$33,0),"NA"))</f>
        <v>30</v>
      </c>
      <c r="E27" s="66">
        <f>IF(Valor_normalizado!E27=0,32,IFERROR(RANK(Valor_normalizado!E27,Valor_normalizado!E$2:E$33,0),"NA"))</f>
        <v>18</v>
      </c>
      <c r="F27" s="66">
        <f>IF(Valor_normalizado!F27=0,32,IFERROR(RANK(Valor_normalizado!F27,Valor_normalizado!F$2:F$33,0),"NA"))</f>
        <v>9</v>
      </c>
      <c r="G27" s="66">
        <f>IF(Valor_normalizado!G27=0,32,IFERROR(RANK(Valor_normalizado!G27,Valor_normalizado!G$2:G$33,0),"NA"))</f>
        <v>18</v>
      </c>
      <c r="H27" s="66">
        <f>IF(Valor_normalizado!H27=0,32,IFERROR(RANK(Valor_normalizado!H27,Valor_normalizado!H$2:H$33,0),"NA"))</f>
        <v>15</v>
      </c>
      <c r="I27" s="66">
        <f>IF(Valor_normalizado!I27=0,32,IFERROR(RANK(Valor_normalizado!I27,Valor_normalizado!I$2:I$33,0),"NA"))</f>
        <v>30</v>
      </c>
      <c r="J27" s="66">
        <f>IF(Valor_normalizado!J27=0,32,IFERROR(RANK(Valor_normalizado!J27,Valor_normalizado!J$2:J$33,0),"NA"))</f>
        <v>29</v>
      </c>
      <c r="K27" s="66">
        <f>IF(Valor_normalizado!K27=0,32,IFERROR(RANK(Valor_normalizado!K27,Valor_normalizado!K$2:K$33,0),"NA"))</f>
        <v>29</v>
      </c>
      <c r="L27" s="66">
        <f>IF(Valor_normalizado!L27=0,32,IFERROR(RANK(Valor_normalizado!L27,Valor_normalizado!L$2:L$33,0),"NA"))</f>
        <v>25</v>
      </c>
      <c r="M27" s="66">
        <f>IF(Valor_normalizado!M27=0,32,IFERROR(RANK(Valor_normalizado!M27,Valor_normalizado!M$2:M$33,0),"NA"))</f>
        <v>32</v>
      </c>
      <c r="N27" s="66">
        <f>IF(Valor_normalizado!N27=0,32,IFERROR(RANK(Valor_normalizado!N27,Valor_normalizado!N$2:N$33,0),"NA"))</f>
        <v>32</v>
      </c>
      <c r="O27" s="66">
        <f>IF(Valor_normalizado!O27=0,32,IFERROR(RANK(Valor_normalizado!O27,Valor_normalizado!O$2:O$33,0),"NA"))</f>
        <v>26</v>
      </c>
      <c r="P27" s="66">
        <f>IF(Valor_normalizado!P27=0,32,IFERROR(RANK(Valor_normalizado!P27,Valor_normalizado!P$2:P$33,0),"NA"))</f>
        <v>32</v>
      </c>
      <c r="Q27" s="66">
        <f>IF(Valor_normalizado!Q27=0,32,IFERROR(RANK(Valor_normalizado!Q27,Valor_normalizado!Q$2:Q$33,0),"NA"))</f>
        <v>32</v>
      </c>
      <c r="R27" s="66">
        <f>IF(Valor_normalizado!R27=0,32,IFERROR(RANK(Valor_normalizado!R27,Valor_normalizado!R$2:R$33,0),"NA"))</f>
        <v>27</v>
      </c>
      <c r="S27" s="66">
        <f>IF(Valor_normalizado!S27=0,32,IFERROR(RANK(Valor_normalizado!S27,Valor_normalizado!S$2:S$33,0),"NA"))</f>
        <v>6</v>
      </c>
      <c r="T27" s="66">
        <f>IF(Valor_normalizado!T27=0,32,IFERROR(RANK(Valor_normalizado!T27,Valor_normalizado!T$2:T$33,0),"NA"))</f>
        <v>32</v>
      </c>
      <c r="U27" s="66">
        <f>IF(Valor_normalizado!U27=0,32,IFERROR(RANK(Valor_normalizado!U27,Valor_normalizado!U$2:U$33,0),"NA"))</f>
        <v>32</v>
      </c>
      <c r="V27" s="66">
        <f>IF(Valor_normalizado!V27=0,32,IFERROR(RANK(Valor_normalizado!V27,Valor_normalizado!V$2:V$33,0),"NA"))</f>
        <v>4</v>
      </c>
      <c r="W27" s="66">
        <f>IF(Valor_normalizado!W27=0,32,IFERROR(RANK(Valor_normalizado!W27,Valor_normalizado!W$2:W$33,0),"NA"))</f>
        <v>9</v>
      </c>
      <c r="X27" s="66">
        <f>IF(Valor_normalizado!X27=0,32,IFERROR(RANK(Valor_normalizado!X27,Valor_normalizado!X$2:X$33,0),"NA"))</f>
        <v>24</v>
      </c>
      <c r="Y27" s="66">
        <f>IF(Valor_normalizado!Y27=0,32,IFERROR(RANK(Valor_normalizado!Y27,Valor_normalizado!Y$2:Y$33,0),"NA"))</f>
        <v>15</v>
      </c>
    </row>
    <row r="28" ht="14.25" hidden="1" customHeight="1">
      <c r="A28" s="51" t="s">
        <v>319</v>
      </c>
      <c r="B28" s="4">
        <v>2019.0</v>
      </c>
      <c r="C28" s="66">
        <f>IF(Valor_normalizado!C28=0,32,IFERROR(RANK(Valor_normalizado!C28,Valor_normalizado!C$2:C$33,0),"NA"))</f>
        <v>27</v>
      </c>
      <c r="D28" s="66">
        <f>IF(Valor_normalizado!D28=0,32,IFERROR(RANK(Valor_normalizado!D28,Valor_normalizado!D$2:D$33,0),"NA"))</f>
        <v>27</v>
      </c>
      <c r="E28" s="66">
        <f>IF(Valor_normalizado!E28=0,32,IFERROR(RANK(Valor_normalizado!E28,Valor_normalizado!E$2:E$33,0),"NA"))</f>
        <v>21</v>
      </c>
      <c r="F28" s="66">
        <f>IF(Valor_normalizado!F28=0,32,IFERROR(RANK(Valor_normalizado!F28,Valor_normalizado!F$2:F$33,0),"NA"))</f>
        <v>27</v>
      </c>
      <c r="G28" s="66">
        <f>IF(Valor_normalizado!G28=0,32,IFERROR(RANK(Valor_normalizado!G28,Valor_normalizado!G$2:G$33,0),"NA"))</f>
        <v>28</v>
      </c>
      <c r="H28" s="66">
        <f>IF(Valor_normalizado!H28=0,32,IFERROR(RANK(Valor_normalizado!H28,Valor_normalizado!H$2:H$33,0),"NA"))</f>
        <v>28</v>
      </c>
      <c r="I28" s="66">
        <f>IF(Valor_normalizado!I28=0,32,IFERROR(RANK(Valor_normalizado!I28,Valor_normalizado!I$2:I$33,0),"NA"))</f>
        <v>14</v>
      </c>
      <c r="J28" s="66">
        <f>IF(Valor_normalizado!J28=0,32,IFERROR(RANK(Valor_normalizado!J28,Valor_normalizado!J$2:J$33,0),"NA"))</f>
        <v>29</v>
      </c>
      <c r="K28" s="66">
        <f>IF(Valor_normalizado!K28=0,32,IFERROR(RANK(Valor_normalizado!K28,Valor_normalizado!K$2:K$33,0),"NA"))</f>
        <v>27</v>
      </c>
      <c r="L28" s="66">
        <f>IF(Valor_normalizado!L28=0,32,IFERROR(RANK(Valor_normalizado!L28,Valor_normalizado!L$2:L$33,0),"NA"))</f>
        <v>27</v>
      </c>
      <c r="M28" s="66">
        <f>IF(Valor_normalizado!M28=0,32,IFERROR(RANK(Valor_normalizado!M28,Valor_normalizado!M$2:M$33,0),"NA"))</f>
        <v>32</v>
      </c>
      <c r="N28" s="66">
        <f>IF(Valor_normalizado!N28=0,32,IFERROR(RANK(Valor_normalizado!N28,Valor_normalizado!N$2:N$33,0),"NA"))</f>
        <v>32</v>
      </c>
      <c r="O28" s="66">
        <f>IF(Valor_normalizado!O28=0,32,IFERROR(RANK(Valor_normalizado!O28,Valor_normalizado!O$2:O$33,0),"NA"))</f>
        <v>32</v>
      </c>
      <c r="P28" s="66">
        <f>IF(Valor_normalizado!P28=0,32,IFERROR(RANK(Valor_normalizado!P28,Valor_normalizado!P$2:P$33,0),"NA"))</f>
        <v>32</v>
      </c>
      <c r="Q28" s="66">
        <f>IF(Valor_normalizado!Q28=0,32,IFERROR(RANK(Valor_normalizado!Q28,Valor_normalizado!Q$2:Q$33,0),"NA"))</f>
        <v>32</v>
      </c>
      <c r="R28" s="66">
        <f>IF(Valor_normalizado!R28=0,32,IFERROR(RANK(Valor_normalizado!R28,Valor_normalizado!R$2:R$33,0),"NA"))</f>
        <v>32</v>
      </c>
      <c r="S28" s="66">
        <f>IF(Valor_normalizado!S28=0,32,IFERROR(RANK(Valor_normalizado!S28,Valor_normalizado!S$2:S$33,0),"NA"))</f>
        <v>32</v>
      </c>
      <c r="T28" s="66">
        <f>IF(Valor_normalizado!T28=0,32,IFERROR(RANK(Valor_normalizado!T28,Valor_normalizado!T$2:T$33,0),"NA"))</f>
        <v>32</v>
      </c>
      <c r="U28" s="66">
        <f>IF(Valor_normalizado!U28=0,32,IFERROR(RANK(Valor_normalizado!U28,Valor_normalizado!U$2:U$33,0),"NA"))</f>
        <v>32</v>
      </c>
      <c r="V28" s="66">
        <f>IF(Valor_normalizado!V28=0,32,IFERROR(RANK(Valor_normalizado!V28,Valor_normalizado!V$2:V$33,0),"NA"))</f>
        <v>26</v>
      </c>
      <c r="W28" s="66">
        <f>IF(Valor_normalizado!W28=0,32,IFERROR(RANK(Valor_normalizado!W28,Valor_normalizado!W$2:W$33,0),"NA"))</f>
        <v>26</v>
      </c>
      <c r="X28" s="66">
        <f>IF(Valor_normalizado!X28=0,32,IFERROR(RANK(Valor_normalizado!X28,Valor_normalizado!X$2:X$33,0),"NA"))</f>
        <v>28</v>
      </c>
      <c r="Y28" s="66">
        <f>IF(Valor_normalizado!Y28=0,32,IFERROR(RANK(Valor_normalizado!Y28,Valor_normalizado!Y$2:Y$33,0),"NA"))</f>
        <v>24</v>
      </c>
    </row>
    <row r="29" ht="14.25" hidden="1" customHeight="1">
      <c r="A29" s="49" t="s">
        <v>323</v>
      </c>
      <c r="B29" s="4">
        <v>2019.0</v>
      </c>
      <c r="C29" s="66">
        <f>IF(Valor_normalizado!C29=0,32,IFERROR(RANK(Valor_normalizado!C29,Valor_normalizado!C$2:C$33,0),"NA"))</f>
        <v>28</v>
      </c>
      <c r="D29" s="66">
        <f>IF(Valor_normalizado!D29=0,32,IFERROR(RANK(Valor_normalizado!D29,Valor_normalizado!D$2:D$33,0),"NA"))</f>
        <v>21</v>
      </c>
      <c r="E29" s="66">
        <f>IF(Valor_normalizado!E29=0,32,IFERROR(RANK(Valor_normalizado!E29,Valor_normalizado!E$2:E$33,0),"NA"))</f>
        <v>17</v>
      </c>
      <c r="F29" s="66">
        <f>IF(Valor_normalizado!F29=0,32,IFERROR(RANK(Valor_normalizado!F29,Valor_normalizado!F$2:F$33,0),"NA"))</f>
        <v>19</v>
      </c>
      <c r="G29" s="66">
        <f>IF(Valor_normalizado!G29=0,32,IFERROR(RANK(Valor_normalizado!G29,Valor_normalizado!G$2:G$33,0),"NA"))</f>
        <v>22</v>
      </c>
      <c r="H29" s="66">
        <f>IF(Valor_normalizado!H29=0,32,IFERROR(RANK(Valor_normalizado!H29,Valor_normalizado!H$2:H$33,0),"NA"))</f>
        <v>12</v>
      </c>
      <c r="I29" s="66">
        <f>IF(Valor_normalizado!I29=0,32,IFERROR(RANK(Valor_normalizado!I29,Valor_normalizado!I$2:I$33,0),"NA"))</f>
        <v>25</v>
      </c>
      <c r="J29" s="66">
        <f>IF(Valor_normalizado!J29=0,32,IFERROR(RANK(Valor_normalizado!J29,Valor_normalizado!J$2:J$33,0),"NA"))</f>
        <v>17</v>
      </c>
      <c r="K29" s="66">
        <f>IF(Valor_normalizado!K29=0,32,IFERROR(RANK(Valor_normalizado!K29,Valor_normalizado!K$2:K$33,0),"NA"))</f>
        <v>21</v>
      </c>
      <c r="L29" s="66">
        <f>IF(Valor_normalizado!L29=0,32,IFERROR(RANK(Valor_normalizado!L29,Valor_normalizado!L$2:L$33,0),"NA"))</f>
        <v>21</v>
      </c>
      <c r="M29" s="66">
        <f>IF(Valor_normalizado!M29=0,32,IFERROR(RANK(Valor_normalizado!M29,Valor_normalizado!M$2:M$33,0),"NA"))</f>
        <v>32</v>
      </c>
      <c r="N29" s="66">
        <f>IF(Valor_normalizado!N29=0,32,IFERROR(RANK(Valor_normalizado!N29,Valor_normalizado!N$2:N$33,0),"NA"))</f>
        <v>32</v>
      </c>
      <c r="O29" s="66">
        <f>IF(Valor_normalizado!O29=0,32,IFERROR(RANK(Valor_normalizado!O29,Valor_normalizado!O$2:O$33,0),"NA"))</f>
        <v>32</v>
      </c>
      <c r="P29" s="66">
        <f>IF(Valor_normalizado!P29=0,32,IFERROR(RANK(Valor_normalizado!P29,Valor_normalizado!P$2:P$33,0),"NA"))</f>
        <v>32</v>
      </c>
      <c r="Q29" s="66">
        <f>IF(Valor_normalizado!Q29=0,32,IFERROR(RANK(Valor_normalizado!Q29,Valor_normalizado!Q$2:Q$33,0),"NA"))</f>
        <v>32</v>
      </c>
      <c r="R29" s="66">
        <f>IF(Valor_normalizado!R29=0,32,IFERROR(RANK(Valor_normalizado!R29,Valor_normalizado!R$2:R$33,0),"NA"))</f>
        <v>32</v>
      </c>
      <c r="S29" s="66">
        <f>IF(Valor_normalizado!S29=0,32,IFERROR(RANK(Valor_normalizado!S29,Valor_normalizado!S$2:S$33,0),"NA"))</f>
        <v>32</v>
      </c>
      <c r="T29" s="66">
        <f>IF(Valor_normalizado!T29=0,32,IFERROR(RANK(Valor_normalizado!T29,Valor_normalizado!T$2:T$33,0),"NA"))</f>
        <v>32</v>
      </c>
      <c r="U29" s="66">
        <f>IF(Valor_normalizado!U29=0,32,IFERROR(RANK(Valor_normalizado!U29,Valor_normalizado!U$2:U$33,0),"NA"))</f>
        <v>32</v>
      </c>
      <c r="V29" s="66">
        <f>IF(Valor_normalizado!V29=0,32,IFERROR(RANK(Valor_normalizado!V29,Valor_normalizado!V$2:V$33,0),"NA"))</f>
        <v>30</v>
      </c>
      <c r="W29" s="66">
        <f>IF(Valor_normalizado!W29=0,32,IFERROR(RANK(Valor_normalizado!W29,Valor_normalizado!W$2:W$33,0),"NA"))</f>
        <v>30</v>
      </c>
      <c r="X29" s="66">
        <f>IF(Valor_normalizado!X29=0,32,IFERROR(RANK(Valor_normalizado!X29,Valor_normalizado!X$2:X$33,0),"NA"))</f>
        <v>30</v>
      </c>
      <c r="Y29" s="66">
        <f>IF(Valor_normalizado!Y29=0,32,IFERROR(RANK(Valor_normalizado!Y29,Valor_normalizado!Y$2:Y$33,0),"NA"))</f>
        <v>29</v>
      </c>
    </row>
    <row r="30" ht="14.25" hidden="1" customHeight="1">
      <c r="A30" s="51" t="s">
        <v>308</v>
      </c>
      <c r="B30" s="4">
        <v>2019.0</v>
      </c>
      <c r="C30" s="66">
        <f>IF(Valor_normalizado!C30=0,32,IFERROR(RANK(Valor_normalizado!C30,Valor_normalizado!C$2:C$33,0),"NA"))</f>
        <v>29</v>
      </c>
      <c r="D30" s="66">
        <f>IF(Valor_normalizado!D30=0,32,IFERROR(RANK(Valor_normalizado!D30,Valor_normalizado!D$2:D$33,0),"NA"))</f>
        <v>32</v>
      </c>
      <c r="E30" s="66">
        <f>IF(Valor_normalizado!E30=0,32,IFERROR(RANK(Valor_normalizado!E30,Valor_normalizado!E$2:E$33,0),"NA"))</f>
        <v>28</v>
      </c>
      <c r="F30" s="66">
        <f>IF(Valor_normalizado!F30=0,32,IFERROR(RANK(Valor_normalizado!F30,Valor_normalizado!F$2:F$33,0),"NA"))</f>
        <v>29</v>
      </c>
      <c r="G30" s="66">
        <f>IF(Valor_normalizado!G30=0,32,IFERROR(RANK(Valor_normalizado!G30,Valor_normalizado!G$2:G$33,0),"NA"))</f>
        <v>29</v>
      </c>
      <c r="H30" s="66">
        <f>IF(Valor_normalizado!H30=0,32,IFERROR(RANK(Valor_normalizado!H30,Valor_normalizado!H$2:H$33,0),"NA"))</f>
        <v>29</v>
      </c>
      <c r="I30" s="66">
        <f>IF(Valor_normalizado!I30=0,32,IFERROR(RANK(Valor_normalizado!I30,Valor_normalizado!I$2:I$33,0),"NA"))</f>
        <v>28</v>
      </c>
      <c r="J30" s="66">
        <f>IF(Valor_normalizado!J30=0,32,IFERROR(RANK(Valor_normalizado!J30,Valor_normalizado!J$2:J$33,0),"NA"))</f>
        <v>20</v>
      </c>
      <c r="K30" s="66">
        <f>IF(Valor_normalizado!K30=0,32,IFERROR(RANK(Valor_normalizado!K30,Valor_normalizado!K$2:K$33,0),"NA"))</f>
        <v>28</v>
      </c>
      <c r="L30" s="66">
        <f>IF(Valor_normalizado!L30=0,32,IFERROR(RANK(Valor_normalizado!L30,Valor_normalizado!L$2:L$33,0),"NA"))</f>
        <v>30</v>
      </c>
      <c r="M30" s="66">
        <f>IF(Valor_normalizado!M30=0,32,IFERROR(RANK(Valor_normalizado!M30,Valor_normalizado!M$2:M$33,0),"NA"))</f>
        <v>32</v>
      </c>
      <c r="N30" s="66">
        <f>IF(Valor_normalizado!N30=0,32,IFERROR(RANK(Valor_normalizado!N30,Valor_normalizado!N$2:N$33,0),"NA"))</f>
        <v>32</v>
      </c>
      <c r="O30" s="66">
        <f>IF(Valor_normalizado!O30=0,32,IFERROR(RANK(Valor_normalizado!O30,Valor_normalizado!O$2:O$33,0),"NA"))</f>
        <v>32</v>
      </c>
      <c r="P30" s="66">
        <f>IF(Valor_normalizado!P30=0,32,IFERROR(RANK(Valor_normalizado!P30,Valor_normalizado!P$2:P$33,0),"NA"))</f>
        <v>32</v>
      </c>
      <c r="Q30" s="66">
        <f>IF(Valor_normalizado!Q30=0,32,IFERROR(RANK(Valor_normalizado!Q30,Valor_normalizado!Q$2:Q$33,0),"NA"))</f>
        <v>32</v>
      </c>
      <c r="R30" s="66">
        <f>IF(Valor_normalizado!R30=0,32,IFERROR(RANK(Valor_normalizado!R30,Valor_normalizado!R$2:R$33,0),"NA"))</f>
        <v>32</v>
      </c>
      <c r="S30" s="66">
        <f>IF(Valor_normalizado!S30=0,32,IFERROR(RANK(Valor_normalizado!S30,Valor_normalizado!S$2:S$33,0),"NA"))</f>
        <v>32</v>
      </c>
      <c r="T30" s="66">
        <f>IF(Valor_normalizado!T30=0,32,IFERROR(RANK(Valor_normalizado!T30,Valor_normalizado!T$2:T$33,0),"NA"))</f>
        <v>32</v>
      </c>
      <c r="U30" s="66">
        <f>IF(Valor_normalizado!U30=0,32,IFERROR(RANK(Valor_normalizado!U30,Valor_normalizado!U$2:U$33,0),"NA"))</f>
        <v>32</v>
      </c>
      <c r="V30" s="66">
        <f>IF(Valor_normalizado!V30=0,32,IFERROR(RANK(Valor_normalizado!V30,Valor_normalizado!V$2:V$33,0),"NA"))</f>
        <v>32</v>
      </c>
      <c r="W30" s="66">
        <f>IF(Valor_normalizado!W30=0,32,IFERROR(RANK(Valor_normalizado!W30,Valor_normalizado!W$2:W$33,0),"NA"))</f>
        <v>32</v>
      </c>
      <c r="X30" s="66">
        <f>IF(Valor_normalizado!X30=0,32,IFERROR(RANK(Valor_normalizado!X30,Valor_normalizado!X$2:X$33,0),"NA"))</f>
        <v>32</v>
      </c>
      <c r="Y30" s="66">
        <f>IF(Valor_normalizado!Y30=0,32,IFERROR(RANK(Valor_normalizado!Y30,Valor_normalizado!Y$2:Y$33,0),"NA"))</f>
        <v>30</v>
      </c>
    </row>
    <row r="31" ht="14.25" hidden="1" customHeight="1">
      <c r="A31" s="49" t="s">
        <v>321</v>
      </c>
      <c r="B31" s="4">
        <v>2019.0</v>
      </c>
      <c r="C31" s="66">
        <f>IF(Valor_normalizado!C31=0,32,IFERROR(RANK(Valor_normalizado!C31,Valor_normalizado!C$2:C$33,0),"NA"))</f>
        <v>30</v>
      </c>
      <c r="D31" s="66">
        <f>IF(Valor_normalizado!D31=0,32,IFERROR(RANK(Valor_normalizado!D31,Valor_normalizado!D$2:D$33,0),"NA"))</f>
        <v>31</v>
      </c>
      <c r="E31" s="66">
        <f>IF(Valor_normalizado!E31=0,32,IFERROR(RANK(Valor_normalizado!E31,Valor_normalizado!E$2:E$33,0),"NA"))</f>
        <v>29</v>
      </c>
      <c r="F31" s="66">
        <f>IF(Valor_normalizado!F31=0,32,IFERROR(RANK(Valor_normalizado!F31,Valor_normalizado!F$2:F$33,0),"NA"))</f>
        <v>30</v>
      </c>
      <c r="G31" s="66">
        <f>IF(Valor_normalizado!G31=0,32,IFERROR(RANK(Valor_normalizado!G31,Valor_normalizado!G$2:G$33,0),"NA"))</f>
        <v>30</v>
      </c>
      <c r="H31" s="66">
        <f>IF(Valor_normalizado!H31=0,32,IFERROR(RANK(Valor_normalizado!H31,Valor_normalizado!H$2:H$33,0),"NA"))</f>
        <v>27</v>
      </c>
      <c r="I31" s="66">
        <f>IF(Valor_normalizado!I31=0,32,IFERROR(RANK(Valor_normalizado!I31,Valor_normalizado!I$2:I$33,0),"NA"))</f>
        <v>29</v>
      </c>
      <c r="J31" s="66">
        <f>IF(Valor_normalizado!J31=0,32,IFERROR(RANK(Valor_normalizado!J31,Valor_normalizado!J$2:J$33,0),"NA"))</f>
        <v>4</v>
      </c>
      <c r="K31" s="66">
        <f>IF(Valor_normalizado!K31=0,32,IFERROR(RANK(Valor_normalizado!K31,Valor_normalizado!K$2:K$33,0),"NA"))</f>
        <v>17</v>
      </c>
      <c r="L31" s="66">
        <f>IF(Valor_normalizado!L31=0,32,IFERROR(RANK(Valor_normalizado!L31,Valor_normalizado!L$2:L$33,0),"NA"))</f>
        <v>28</v>
      </c>
      <c r="M31" s="66">
        <f>IF(Valor_normalizado!M31=0,32,IFERROR(RANK(Valor_normalizado!M31,Valor_normalizado!M$2:M$33,0),"NA"))</f>
        <v>32</v>
      </c>
      <c r="N31" s="66">
        <f>IF(Valor_normalizado!N31=0,32,IFERROR(RANK(Valor_normalizado!N31,Valor_normalizado!N$2:N$33,0),"NA"))</f>
        <v>32</v>
      </c>
      <c r="O31" s="66">
        <f>IF(Valor_normalizado!O31=0,32,IFERROR(RANK(Valor_normalizado!O31,Valor_normalizado!O$2:O$33,0),"NA"))</f>
        <v>32</v>
      </c>
      <c r="P31" s="66">
        <f>IF(Valor_normalizado!P31=0,32,IFERROR(RANK(Valor_normalizado!P31,Valor_normalizado!P$2:P$33,0),"NA"))</f>
        <v>32</v>
      </c>
      <c r="Q31" s="66">
        <f>IF(Valor_normalizado!Q31=0,32,IFERROR(RANK(Valor_normalizado!Q31,Valor_normalizado!Q$2:Q$33,0),"NA"))</f>
        <v>32</v>
      </c>
      <c r="R31" s="66">
        <f>IF(Valor_normalizado!R31=0,32,IFERROR(RANK(Valor_normalizado!R31,Valor_normalizado!R$2:R$33,0),"NA"))</f>
        <v>32</v>
      </c>
      <c r="S31" s="66">
        <f>IF(Valor_normalizado!S31=0,32,IFERROR(RANK(Valor_normalizado!S31,Valor_normalizado!S$2:S$33,0),"NA"))</f>
        <v>32</v>
      </c>
      <c r="T31" s="66">
        <f>IF(Valor_normalizado!T31=0,32,IFERROR(RANK(Valor_normalizado!T31,Valor_normalizado!T$2:T$33,0),"NA"))</f>
        <v>32</v>
      </c>
      <c r="U31" s="66">
        <f>IF(Valor_normalizado!U31=0,32,IFERROR(RANK(Valor_normalizado!U31,Valor_normalizado!U$2:U$33,0),"NA"))</f>
        <v>32</v>
      </c>
      <c r="V31" s="66">
        <f>IF(Valor_normalizado!V31=0,32,IFERROR(RANK(Valor_normalizado!V31,Valor_normalizado!V$2:V$33,0),"NA"))</f>
        <v>32</v>
      </c>
      <c r="W31" s="66">
        <f>IF(Valor_normalizado!W31=0,32,IFERROR(RANK(Valor_normalizado!W31,Valor_normalizado!W$2:W$33,0),"NA"))</f>
        <v>32</v>
      </c>
      <c r="X31" s="66">
        <f>IF(Valor_normalizado!X31=0,32,IFERROR(RANK(Valor_normalizado!X31,Valor_normalizado!X$2:X$33,0),"NA"))</f>
        <v>32</v>
      </c>
      <c r="Y31" s="66">
        <f>IF(Valor_normalizado!Y31=0,32,IFERROR(RANK(Valor_normalizado!Y31,Valor_normalizado!Y$2:Y$33,0),"NA"))</f>
        <v>31</v>
      </c>
    </row>
    <row r="32" ht="14.25" hidden="1" customHeight="1">
      <c r="A32" s="51" t="s">
        <v>317</v>
      </c>
      <c r="B32" s="4">
        <v>2019.0</v>
      </c>
      <c r="C32" s="66">
        <f>IF(Valor_normalizado!C32=0,32,IFERROR(RANK(Valor_normalizado!C32,Valor_normalizado!C$2:C$33,0),"NA"))</f>
        <v>31</v>
      </c>
      <c r="D32" s="66">
        <f>IF(Valor_normalizado!D32=0,32,IFERROR(RANK(Valor_normalizado!D32,Valor_normalizado!D$2:D$33,0),"NA"))</f>
        <v>29</v>
      </c>
      <c r="E32" s="66">
        <f>IF(Valor_normalizado!E32=0,32,IFERROR(RANK(Valor_normalizado!E32,Valor_normalizado!E$2:E$33,0),"NA"))</f>
        <v>32</v>
      </c>
      <c r="F32" s="66">
        <f>IF(Valor_normalizado!F32=0,32,IFERROR(RANK(Valor_normalizado!F32,Valor_normalizado!F$2:F$33,0),"NA"))</f>
        <v>31</v>
      </c>
      <c r="G32" s="66">
        <f>IF(Valor_normalizado!G32=0,32,IFERROR(RANK(Valor_normalizado!G32,Valor_normalizado!G$2:G$33,0),"NA"))</f>
        <v>32</v>
      </c>
      <c r="H32" s="66">
        <f>IF(Valor_normalizado!H32=0,32,IFERROR(RANK(Valor_normalizado!H32,Valor_normalizado!H$2:H$33,0),"NA"))</f>
        <v>31</v>
      </c>
      <c r="I32" s="66">
        <f>IF(Valor_normalizado!I32=0,32,IFERROR(RANK(Valor_normalizado!I32,Valor_normalizado!I$2:I$33,0),"NA"))</f>
        <v>31</v>
      </c>
      <c r="J32" s="66">
        <f>IF(Valor_normalizado!J32=0,32,IFERROR(RANK(Valor_normalizado!J32,Valor_normalizado!J$2:J$33,0),"NA"))</f>
        <v>28</v>
      </c>
      <c r="K32" s="66">
        <f>IF(Valor_normalizado!K32=0,32,IFERROR(RANK(Valor_normalizado!K32,Valor_normalizado!K$2:K$33,0),"NA"))</f>
        <v>31</v>
      </c>
      <c r="L32" s="66">
        <f>IF(Valor_normalizado!L32=0,32,IFERROR(RANK(Valor_normalizado!L32,Valor_normalizado!L$2:L$33,0),"NA"))</f>
        <v>31</v>
      </c>
      <c r="M32" s="66">
        <f>IF(Valor_normalizado!M32=0,32,IFERROR(RANK(Valor_normalizado!M32,Valor_normalizado!M$2:M$33,0),"NA"))</f>
        <v>3</v>
      </c>
      <c r="N32" s="66">
        <f>IF(Valor_normalizado!N32=0,32,IFERROR(RANK(Valor_normalizado!N32,Valor_normalizado!N$2:N$33,0),"NA"))</f>
        <v>32</v>
      </c>
      <c r="O32" s="66">
        <f>IF(Valor_normalizado!O32=0,32,IFERROR(RANK(Valor_normalizado!O32,Valor_normalizado!O$2:O$33,0),"NA"))</f>
        <v>13</v>
      </c>
      <c r="P32" s="66">
        <f>IF(Valor_normalizado!P32=0,32,IFERROR(RANK(Valor_normalizado!P32,Valor_normalizado!P$2:P$33,0),"NA"))</f>
        <v>18</v>
      </c>
      <c r="Q32" s="66">
        <f>IF(Valor_normalizado!Q32=0,32,IFERROR(RANK(Valor_normalizado!Q32,Valor_normalizado!Q$2:Q$33,0),"NA"))</f>
        <v>1</v>
      </c>
      <c r="R32" s="66">
        <f>IF(Valor_normalizado!R32=0,32,IFERROR(RANK(Valor_normalizado!R32,Valor_normalizado!R$2:R$33,0),"NA"))</f>
        <v>4</v>
      </c>
      <c r="S32" s="66">
        <f>IF(Valor_normalizado!S32=0,32,IFERROR(RANK(Valor_normalizado!S32,Valor_normalizado!S$2:S$33,0),"NA"))</f>
        <v>32</v>
      </c>
      <c r="T32" s="66">
        <f>IF(Valor_normalizado!T32=0,32,IFERROR(RANK(Valor_normalizado!T32,Valor_normalizado!T$2:T$33,0),"NA"))</f>
        <v>32</v>
      </c>
      <c r="U32" s="66">
        <f>IF(Valor_normalizado!U32=0,32,IFERROR(RANK(Valor_normalizado!U32,Valor_normalizado!U$2:U$33,0),"NA"))</f>
        <v>32</v>
      </c>
      <c r="V32" s="66">
        <f>IF(Valor_normalizado!V32=0,32,IFERROR(RANK(Valor_normalizado!V32,Valor_normalizado!V$2:V$33,0),"NA"))</f>
        <v>16</v>
      </c>
      <c r="W32" s="66">
        <f>IF(Valor_normalizado!W32=0,32,IFERROR(RANK(Valor_normalizado!W32,Valor_normalizado!W$2:W$33,0),"NA"))</f>
        <v>21</v>
      </c>
      <c r="X32" s="66">
        <f>IF(Valor_normalizado!X32=0,32,IFERROR(RANK(Valor_normalizado!X32,Valor_normalizado!X$2:X$33,0),"NA"))</f>
        <v>11</v>
      </c>
      <c r="Y32" s="66">
        <f>IF(Valor_normalizado!Y32=0,32,IFERROR(RANK(Valor_normalizado!Y32,Valor_normalizado!Y$2:Y$33,0),"NA"))</f>
        <v>28</v>
      </c>
    </row>
    <row r="33" ht="14.25" hidden="1" customHeight="1">
      <c r="A33" s="49" t="s">
        <v>322</v>
      </c>
      <c r="B33" s="4">
        <v>2019.0</v>
      </c>
      <c r="C33" s="66">
        <f>IF(Valor_normalizado!C33=0,32,IFERROR(RANK(Valor_normalizado!C33,Valor_normalizado!C$2:C$33,0),"NA"))</f>
        <v>32</v>
      </c>
      <c r="D33" s="66">
        <f>IF(Valor_normalizado!D33=0,32,IFERROR(RANK(Valor_normalizado!D33,Valor_normalizado!D$2:D$33,0),"NA"))</f>
        <v>28</v>
      </c>
      <c r="E33" s="66">
        <f>IF(Valor_normalizado!E33=0,32,IFERROR(RANK(Valor_normalizado!E33,Valor_normalizado!E$2:E$33,0),"NA"))</f>
        <v>24</v>
      </c>
      <c r="F33" s="66">
        <f>IF(Valor_normalizado!F33=0,32,IFERROR(RANK(Valor_normalizado!F33,Valor_normalizado!F$2:F$33,0),"NA"))</f>
        <v>32</v>
      </c>
      <c r="G33" s="66">
        <f>IF(Valor_normalizado!G33=0,32,IFERROR(RANK(Valor_normalizado!G33,Valor_normalizado!G$2:G$33,0),"NA"))</f>
        <v>31</v>
      </c>
      <c r="H33" s="66">
        <f>IF(Valor_normalizado!H33=0,32,IFERROR(RANK(Valor_normalizado!H33,Valor_normalizado!H$2:H$33,0),"NA"))</f>
        <v>32</v>
      </c>
      <c r="I33" s="66">
        <f>IF(Valor_normalizado!I33=0,32,IFERROR(RANK(Valor_normalizado!I33,Valor_normalizado!I$2:I$33,0),"NA"))</f>
        <v>32</v>
      </c>
      <c r="J33" s="66">
        <f>IF(Valor_normalizado!J33=0,32,IFERROR(RANK(Valor_normalizado!J33,Valor_normalizado!J$2:J$33,0),"NA"))</f>
        <v>32</v>
      </c>
      <c r="K33" s="66">
        <f>IF(Valor_normalizado!K33=0,32,IFERROR(RANK(Valor_normalizado!K33,Valor_normalizado!K$2:K$33,0),"NA"))</f>
        <v>32</v>
      </c>
      <c r="L33" s="66">
        <f>IF(Valor_normalizado!L33=0,32,IFERROR(RANK(Valor_normalizado!L33,Valor_normalizado!L$2:L$33,0),"NA"))</f>
        <v>32</v>
      </c>
      <c r="M33" s="66">
        <f>IF(Valor_normalizado!M33=0,32,IFERROR(RANK(Valor_normalizado!M33,Valor_normalizado!M$2:M$33,0),"NA"))</f>
        <v>32</v>
      </c>
      <c r="N33" s="66">
        <f>IF(Valor_normalizado!N33=0,32,IFERROR(RANK(Valor_normalizado!N33,Valor_normalizado!N$2:N$33,0),"NA"))</f>
        <v>32</v>
      </c>
      <c r="O33" s="66">
        <f>IF(Valor_normalizado!O33=0,32,IFERROR(RANK(Valor_normalizado!O33,Valor_normalizado!O$2:O$33,0),"NA"))</f>
        <v>4</v>
      </c>
      <c r="P33" s="66">
        <f>IF(Valor_normalizado!P33=0,32,IFERROR(RANK(Valor_normalizado!P33,Valor_normalizado!P$2:P$33,0),"NA"))</f>
        <v>32</v>
      </c>
      <c r="Q33" s="66">
        <f>IF(Valor_normalizado!Q33=0,32,IFERROR(RANK(Valor_normalizado!Q33,Valor_normalizado!Q$2:Q$33,0),"NA"))</f>
        <v>32</v>
      </c>
      <c r="R33" s="66">
        <f>IF(Valor_normalizado!R33=0,32,IFERROR(RANK(Valor_normalizado!R33,Valor_normalizado!R$2:R$33,0),"NA"))</f>
        <v>25</v>
      </c>
      <c r="S33" s="66">
        <f>IF(Valor_normalizado!S33=0,32,IFERROR(RANK(Valor_normalizado!S33,Valor_normalizado!S$2:S$33,0),"NA"))</f>
        <v>32</v>
      </c>
      <c r="T33" s="66">
        <f>IF(Valor_normalizado!T33=0,32,IFERROR(RANK(Valor_normalizado!T33,Valor_normalizado!T$2:T$33,0),"NA"))</f>
        <v>32</v>
      </c>
      <c r="U33" s="66">
        <f>IF(Valor_normalizado!U33=0,32,IFERROR(RANK(Valor_normalizado!U33,Valor_normalizado!U$2:U$33,0),"NA"))</f>
        <v>32</v>
      </c>
      <c r="V33" s="66">
        <f>IF(Valor_normalizado!V33=0,32,IFERROR(RANK(Valor_normalizado!V33,Valor_normalizado!V$2:V$33,0),"NA"))</f>
        <v>29</v>
      </c>
      <c r="W33" s="66">
        <f>IF(Valor_normalizado!W33=0,32,IFERROR(RANK(Valor_normalizado!W33,Valor_normalizado!W$2:W$33,0),"NA"))</f>
        <v>29</v>
      </c>
      <c r="X33" s="66">
        <f>IF(Valor_normalizado!X33=0,32,IFERROR(RANK(Valor_normalizado!X33,Valor_normalizado!X$2:X$33,0),"NA"))</f>
        <v>26</v>
      </c>
      <c r="Y33" s="66">
        <f>IF(Valor_normalizado!Y33=0,32,IFERROR(RANK(Valor_normalizado!Y33,Valor_normalizado!Y$2:Y$33,0),"NA"))</f>
        <v>32</v>
      </c>
    </row>
    <row r="34" ht="14.25" customHeight="1">
      <c r="A34" s="49" t="s">
        <v>329</v>
      </c>
      <c r="B34" s="52">
        <v>2020.0</v>
      </c>
      <c r="C34" s="66">
        <f>IF(Valor_normalizado!C34=0,32,IFERROR(RANK(Valor_normalizado!C34,Valor_normalizado!C$34:C$65,0),"NA"))</f>
        <v>25</v>
      </c>
      <c r="D34" s="66">
        <f>IF(Valor_normalizado!D34=0,32,IFERROR(RANK(Valor_normalizado!D34,Valor_normalizado!D$34:D$65,0),"NA"))</f>
        <v>25</v>
      </c>
      <c r="E34" s="66">
        <f>IF(Valor_normalizado!E34=0,32,IFERROR(RANK(Valor_normalizado!E34,Valor_normalizado!E$34:E$65,0),"NA"))</f>
        <v>30</v>
      </c>
      <c r="F34" s="66">
        <f>IF(Valor_normalizado!F34=0,32,IFERROR(RANK(Valor_normalizado!F34,Valor_normalizado!F$34:F$65,0),"NA"))</f>
        <v>20</v>
      </c>
      <c r="G34" s="66">
        <f>IF(Valor_normalizado!G34=0,32,IFERROR(RANK(Valor_normalizado!G34,Valor_normalizado!G$34:G$65,0),"NA"))</f>
        <v>27</v>
      </c>
      <c r="H34" s="66">
        <f>IF(Valor_normalizado!H34=0,32,IFERROR(RANK(Valor_normalizado!H34,Valor_normalizado!H$34:H$65,0),"NA"))</f>
        <v>30</v>
      </c>
      <c r="I34" s="66">
        <f>IF(Valor_normalizado!I34=0,32,IFERROR(RANK(Valor_normalizado!I34,Valor_normalizado!I$34:I$65,0),"NA"))</f>
        <v>26</v>
      </c>
      <c r="J34" s="66">
        <f>IF(Valor_normalizado!J34=0,32,IFERROR(RANK(Valor_normalizado!J34,Valor_normalizado!J$34:J$65,0),"NA"))</f>
        <v>31</v>
      </c>
      <c r="K34" s="66">
        <f>IF(Valor_normalizado!K34=0,32,IFERROR(RANK(Valor_normalizado!K34,Valor_normalizado!K$34:K$65,0),"NA"))</f>
        <v>30</v>
      </c>
      <c r="L34" s="66">
        <f>IF(Valor_normalizado!L34=0,32,IFERROR(RANK(Valor_normalizado!L34,Valor_normalizado!L$34:L$65,0),"NA"))</f>
        <v>29</v>
      </c>
      <c r="M34" s="66">
        <f>IF(Valor_normalizado!M34=0,32,IFERROR(RANK(Valor_normalizado!M34,Valor_normalizado!M$34:M$65,0),"NA"))</f>
        <v>32</v>
      </c>
      <c r="N34" s="66">
        <f>IF(Valor_normalizado!N34=0,32,IFERROR(RANK(Valor_normalizado!N34,Valor_normalizado!N$34:N$65,0),"NA"))</f>
        <v>32</v>
      </c>
      <c r="O34" s="66">
        <f>IF(Valor_normalizado!O34=0,32,IFERROR(RANK(Valor_normalizado!O34,Valor_normalizado!O$34:O$65,0),"NA"))</f>
        <v>27</v>
      </c>
      <c r="P34" s="66">
        <f>IF(Valor_normalizado!P34=0,32,IFERROR(RANK(Valor_normalizado!P34,Valor_normalizado!P$34:P$65,0),"NA"))</f>
        <v>32</v>
      </c>
      <c r="Q34" s="66">
        <f>IF(Valor_normalizado!Q34=0,32,IFERROR(RANK(Valor_normalizado!Q34,Valor_normalizado!Q$34:Q$65,0),"NA"))</f>
        <v>32</v>
      </c>
      <c r="R34" s="66">
        <f>IF(Valor_normalizado!R34=0,32,IFERROR(RANK(Valor_normalizado!R34,Valor_normalizado!R$34:R$65,0),"NA"))</f>
        <v>28</v>
      </c>
      <c r="S34" s="66">
        <f>IF(Valor_normalizado!S34=0,32,IFERROR(RANK(Valor_normalizado!S34,Valor_normalizado!S$34:S$65,0),"NA"))</f>
        <v>32</v>
      </c>
      <c r="T34" s="66">
        <f>IF(Valor_normalizado!T34=0,32,IFERROR(RANK(Valor_normalizado!T34,Valor_normalizado!T$34:T$65,0),"NA"))</f>
        <v>32</v>
      </c>
      <c r="U34" s="66">
        <f>IF(Valor_normalizado!U34=0,32,IFERROR(RANK(Valor_normalizado!U34,Valor_normalizado!U$34:U$65,0),"NA"))</f>
        <v>32</v>
      </c>
      <c r="V34" s="66">
        <f>IF(Valor_normalizado!V34=0,32,IFERROR(RANK(Valor_normalizado!V34,Valor_normalizado!V$34:V$65,0),"NA"))</f>
        <v>27</v>
      </c>
      <c r="W34" s="66">
        <f>IF(Valor_normalizado!W34=0,32,IFERROR(RANK(Valor_normalizado!W34,Valor_normalizado!W$34:W$65,0),"NA"))</f>
        <v>28</v>
      </c>
      <c r="X34" s="66">
        <f>IF(Valor_normalizado!X34=0,32,IFERROR(RANK(Valor_normalizado!X34,Valor_normalizado!X$34:X$65,0),"NA"))</f>
        <v>28</v>
      </c>
      <c r="Y34" s="66">
        <f>IF(Valor_normalizado!Y34=0,32,IFERROR(RANK(Valor_normalizado!Y34,Valor_normalizado!Y$34:Y$65,0),"NA"))</f>
        <v>27</v>
      </c>
    </row>
    <row r="35" ht="14.25" customHeight="1">
      <c r="A35" s="51" t="s">
        <v>306</v>
      </c>
      <c r="B35" s="23">
        <v>2020.0</v>
      </c>
      <c r="C35" s="66">
        <f>IF(Valor_normalizado!C35=0,32,IFERROR(RANK(Valor_normalizado!C35,Valor_normalizado!C$34:C$65,0),"NA"))</f>
        <v>2</v>
      </c>
      <c r="D35" s="66">
        <f>IF(Valor_normalizado!D35=0,32,IFERROR(RANK(Valor_normalizado!D35,Valor_normalizado!D$34:D$65,0),"NA"))</f>
        <v>20</v>
      </c>
      <c r="E35" s="66">
        <f>IF(Valor_normalizado!E35=0,32,IFERROR(RANK(Valor_normalizado!E35,Valor_normalizado!E$34:E$65,0),"NA"))</f>
        <v>14</v>
      </c>
      <c r="F35" s="66">
        <f>IF(Valor_normalizado!F35=0,32,IFERROR(RANK(Valor_normalizado!F35,Valor_normalizado!F$34:F$65,0),"NA"))</f>
        <v>14</v>
      </c>
      <c r="G35" s="66">
        <f>IF(Valor_normalizado!G35=0,32,IFERROR(RANK(Valor_normalizado!G35,Valor_normalizado!G$34:G$65,0),"NA"))</f>
        <v>9</v>
      </c>
      <c r="H35" s="66">
        <f>IF(Valor_normalizado!H35=0,32,IFERROR(RANK(Valor_normalizado!H35,Valor_normalizado!H$34:H$65,0),"NA"))</f>
        <v>4</v>
      </c>
      <c r="I35" s="66">
        <f>IF(Valor_normalizado!I35=0,32,IFERROR(RANK(Valor_normalizado!I35,Valor_normalizado!I$34:I$65,0),"NA"))</f>
        <v>10</v>
      </c>
      <c r="J35" s="66">
        <f>IF(Valor_normalizado!J35=0,32,IFERROR(RANK(Valor_normalizado!J35,Valor_normalizado!J$34:J$65,0),"NA"))</f>
        <v>20</v>
      </c>
      <c r="K35" s="66">
        <f>IF(Valor_normalizado!K35=0,32,IFERROR(RANK(Valor_normalizado!K35,Valor_normalizado!K$34:K$65,0),"NA"))</f>
        <v>10</v>
      </c>
      <c r="L35" s="66">
        <f>IF(Valor_normalizado!L35=0,32,IFERROR(RANK(Valor_normalizado!L35,Valor_normalizado!L$34:L$65,0),"NA"))</f>
        <v>10</v>
      </c>
      <c r="M35" s="66">
        <f>IF(Valor_normalizado!M35=0,32,IFERROR(RANK(Valor_normalizado!M35,Valor_normalizado!M$34:M$65,0),"NA"))</f>
        <v>19</v>
      </c>
      <c r="N35" s="66">
        <f>IF(Valor_normalizado!N35=0,32,IFERROR(RANK(Valor_normalizado!N35,Valor_normalizado!N$34:N$65,0),"NA"))</f>
        <v>12</v>
      </c>
      <c r="O35" s="66">
        <f>IF(Valor_normalizado!O35=0,32,IFERROR(RANK(Valor_normalizado!O35,Valor_normalizado!O$34:O$65,0),"NA"))</f>
        <v>11</v>
      </c>
      <c r="P35" s="66">
        <f>IF(Valor_normalizado!P35=0,32,IFERROR(RANK(Valor_normalizado!P35,Valor_normalizado!P$34:P$65,0),"NA"))</f>
        <v>6</v>
      </c>
      <c r="Q35" s="66">
        <f>IF(Valor_normalizado!Q35=0,32,IFERROR(RANK(Valor_normalizado!Q35,Valor_normalizado!Q$34:Q$65,0),"NA"))</f>
        <v>8</v>
      </c>
      <c r="R35" s="66">
        <f>IF(Valor_normalizado!R35=0,32,IFERROR(RANK(Valor_normalizado!R35,Valor_normalizado!R$34:R$65,0),"NA"))</f>
        <v>14</v>
      </c>
      <c r="S35" s="66">
        <f>IF(Valor_normalizado!S35=0,32,IFERROR(RANK(Valor_normalizado!S35,Valor_normalizado!S$34:S$65,0),"NA"))</f>
        <v>1</v>
      </c>
      <c r="T35" s="66">
        <f>IF(Valor_normalizado!T35=0,32,IFERROR(RANK(Valor_normalizado!T35,Valor_normalizado!T$34:T$65,0),"NA"))</f>
        <v>4</v>
      </c>
      <c r="U35" s="66">
        <f>IF(Valor_normalizado!U35=0,32,IFERROR(RANK(Valor_normalizado!U35,Valor_normalizado!U$34:U$65,0),"NA"))</f>
        <v>5</v>
      </c>
      <c r="V35" s="66">
        <f>IF(Valor_normalizado!V35=0,32,IFERROR(RANK(Valor_normalizado!V35,Valor_normalizado!V$34:V$65,0),"NA"))</f>
        <v>10</v>
      </c>
      <c r="W35" s="66">
        <f>IF(Valor_normalizado!W35=0,32,IFERROR(RANK(Valor_normalizado!W35,Valor_normalizado!W$34:W$65,0),"NA"))</f>
        <v>5</v>
      </c>
      <c r="X35" s="66">
        <f>IF(Valor_normalizado!X35=0,32,IFERROR(RANK(Valor_normalizado!X35,Valor_normalizado!X$34:X$65,0),"NA"))</f>
        <v>6</v>
      </c>
      <c r="Y35" s="66">
        <f>IF(Valor_normalizado!Y35=0,32,IFERROR(RANK(Valor_normalizado!Y35,Valor_normalizado!Y$34:Y$65,0),"NA"))</f>
        <v>10</v>
      </c>
    </row>
    <row r="36" ht="14.25" customHeight="1">
      <c r="A36" s="49" t="s">
        <v>320</v>
      </c>
      <c r="B36" s="23">
        <v>2020.0</v>
      </c>
      <c r="C36" s="66">
        <f>IF(Valor_normalizado!C36=0,32,IFERROR(RANK(Valor_normalizado!C36,Valor_normalizado!C$34:C$65,0),"NA"))</f>
        <v>14</v>
      </c>
      <c r="D36" s="66">
        <f>IF(Valor_normalizado!D36=0,32,IFERROR(RANK(Valor_normalizado!D36,Valor_normalizado!D$34:D$65,0),"NA"))</f>
        <v>3</v>
      </c>
      <c r="E36" s="66">
        <f>IF(Valor_normalizado!E36=0,32,IFERROR(RANK(Valor_normalizado!E36,Valor_normalizado!E$34:E$65,0),"NA"))</f>
        <v>8</v>
      </c>
      <c r="F36" s="66">
        <f>IF(Valor_normalizado!F36=0,32,IFERROR(RANK(Valor_normalizado!F36,Valor_normalizado!F$34:F$65,0),"NA"))</f>
        <v>7</v>
      </c>
      <c r="G36" s="66">
        <f>IF(Valor_normalizado!G36=0,32,IFERROR(RANK(Valor_normalizado!G36,Valor_normalizado!G$34:G$65,0),"NA"))</f>
        <v>11</v>
      </c>
      <c r="H36" s="66">
        <f>IF(Valor_normalizado!H36=0,32,IFERROR(RANK(Valor_normalizado!H36,Valor_normalizado!H$34:H$65,0),"NA"))</f>
        <v>13</v>
      </c>
      <c r="I36" s="66">
        <f>IF(Valor_normalizado!I36=0,32,IFERROR(RANK(Valor_normalizado!I36,Valor_normalizado!I$34:I$65,0),"NA"))</f>
        <v>12</v>
      </c>
      <c r="J36" s="66">
        <f>IF(Valor_normalizado!J36=0,32,IFERROR(RANK(Valor_normalizado!J36,Valor_normalizado!J$34:J$65,0),"NA"))</f>
        <v>6</v>
      </c>
      <c r="K36" s="66">
        <f>IF(Valor_normalizado!K36=0,32,IFERROR(RANK(Valor_normalizado!K36,Valor_normalizado!K$34:K$65,0),"NA"))</f>
        <v>9</v>
      </c>
      <c r="L36" s="66">
        <f>IF(Valor_normalizado!L36=0,32,IFERROR(RANK(Valor_normalizado!L36,Valor_normalizado!L$34:L$65,0),"NA"))</f>
        <v>11</v>
      </c>
      <c r="M36" s="66">
        <f>IF(Valor_normalizado!M36=0,32,IFERROR(RANK(Valor_normalizado!M36,Valor_normalizado!M$34:M$65,0),"NA"))</f>
        <v>9</v>
      </c>
      <c r="N36" s="66">
        <f>IF(Valor_normalizado!N36=0,32,IFERROR(RANK(Valor_normalizado!N36,Valor_normalizado!N$34:N$65,0),"NA"))</f>
        <v>4</v>
      </c>
      <c r="O36" s="66">
        <f>IF(Valor_normalizado!O36=0,32,IFERROR(RANK(Valor_normalizado!O36,Valor_normalizado!O$34:O$65,0),"NA"))</f>
        <v>7</v>
      </c>
      <c r="P36" s="66">
        <f>IF(Valor_normalizado!P36=0,32,IFERROR(RANK(Valor_normalizado!P36,Valor_normalizado!P$34:P$65,0),"NA"))</f>
        <v>5</v>
      </c>
      <c r="Q36" s="66">
        <f>IF(Valor_normalizado!Q36=0,32,IFERROR(RANK(Valor_normalizado!Q36,Valor_normalizado!Q$34:Q$65,0),"NA"))</f>
        <v>14</v>
      </c>
      <c r="R36" s="66">
        <f>IF(Valor_normalizado!R36=0,32,IFERROR(RANK(Valor_normalizado!R36,Valor_normalizado!R$34:R$65,0),"NA"))</f>
        <v>5</v>
      </c>
      <c r="S36" s="66">
        <f>IF(Valor_normalizado!S36=0,32,IFERROR(RANK(Valor_normalizado!S36,Valor_normalizado!S$34:S$65,0),"NA"))</f>
        <v>12</v>
      </c>
      <c r="T36" s="66">
        <f>IF(Valor_normalizado!T36=0,32,IFERROR(RANK(Valor_normalizado!T36,Valor_normalizado!T$34:T$65,0),"NA"))</f>
        <v>11</v>
      </c>
      <c r="U36" s="66">
        <f>IF(Valor_normalizado!U36=0,32,IFERROR(RANK(Valor_normalizado!U36,Valor_normalizado!U$34:U$65,0),"NA"))</f>
        <v>14</v>
      </c>
      <c r="V36" s="66">
        <f>IF(Valor_normalizado!V36=0,32,IFERROR(RANK(Valor_normalizado!V36,Valor_normalizado!V$34:V$65,0),"NA"))</f>
        <v>8</v>
      </c>
      <c r="W36" s="66">
        <f>IF(Valor_normalizado!W36=0,32,IFERROR(RANK(Valor_normalizado!W36,Valor_normalizado!W$34:W$65,0),"NA"))</f>
        <v>11</v>
      </c>
      <c r="X36" s="66">
        <f>IF(Valor_normalizado!X36=0,32,IFERROR(RANK(Valor_normalizado!X36,Valor_normalizado!X$34:X$65,0),"NA"))</f>
        <v>9</v>
      </c>
      <c r="Y36" s="66">
        <f>IF(Valor_normalizado!Y36=0,32,IFERROR(RANK(Valor_normalizado!Y36,Valor_normalizado!Y$34:Y$65,0),"NA"))</f>
        <v>8</v>
      </c>
    </row>
    <row r="37" ht="14.25" customHeight="1">
      <c r="A37" s="51" t="s">
        <v>305</v>
      </c>
      <c r="B37" s="23">
        <v>2020.0</v>
      </c>
      <c r="C37" s="66">
        <f>IF(Valor_normalizado!C37=0,32,IFERROR(RANK(Valor_normalizado!C37,Valor_normalizado!C$34:C$65,0),"NA"))</f>
        <v>1</v>
      </c>
      <c r="D37" s="66">
        <f>IF(Valor_normalizado!D37=0,32,IFERROR(RANK(Valor_normalizado!D37,Valor_normalizado!D$34:D$65,0),"NA"))</f>
        <v>1</v>
      </c>
      <c r="E37" s="66">
        <f>IF(Valor_normalizado!E37=0,32,IFERROR(RANK(Valor_normalizado!E37,Valor_normalizado!E$34:E$65,0),"NA"))</f>
        <v>1</v>
      </c>
      <c r="F37" s="66">
        <f>IF(Valor_normalizado!F37=0,32,IFERROR(RANK(Valor_normalizado!F37,Valor_normalizado!F$34:F$65,0),"NA"))</f>
        <v>1</v>
      </c>
      <c r="G37" s="66">
        <f>IF(Valor_normalizado!G37=0,32,IFERROR(RANK(Valor_normalizado!G37,Valor_normalizado!G$34:G$65,0),"NA"))</f>
        <v>1</v>
      </c>
      <c r="H37" s="66">
        <f>IF(Valor_normalizado!H37=0,32,IFERROR(RANK(Valor_normalizado!H37,Valor_normalizado!H$34:H$65,0),"NA"))</f>
        <v>6</v>
      </c>
      <c r="I37" s="66">
        <f>IF(Valor_normalizado!I37=0,32,IFERROR(RANK(Valor_normalizado!I37,Valor_normalizado!I$34:I$65,0),"NA"))</f>
        <v>6</v>
      </c>
      <c r="J37" s="66">
        <f>IF(Valor_normalizado!J37=0,32,IFERROR(RANK(Valor_normalizado!J37,Valor_normalizado!J$34:J$65,0),"NA"))</f>
        <v>1</v>
      </c>
      <c r="K37" s="66">
        <f>IF(Valor_normalizado!K37=0,32,IFERROR(RANK(Valor_normalizado!K37,Valor_normalizado!K$34:K$65,0),"NA"))</f>
        <v>4</v>
      </c>
      <c r="L37" s="66">
        <f>IF(Valor_normalizado!L37=0,32,IFERROR(RANK(Valor_normalizado!L37,Valor_normalizado!L$34:L$65,0),"NA"))</f>
        <v>2</v>
      </c>
      <c r="M37" s="66">
        <f>IF(Valor_normalizado!M37=0,32,IFERROR(RANK(Valor_normalizado!M37,Valor_normalizado!M$34:M$65,0),"NA"))</f>
        <v>5</v>
      </c>
      <c r="N37" s="66">
        <f>IF(Valor_normalizado!N37=0,32,IFERROR(RANK(Valor_normalizado!N37,Valor_normalizado!N$34:N$65,0),"NA"))</f>
        <v>3</v>
      </c>
      <c r="O37" s="66">
        <f>IF(Valor_normalizado!O37=0,32,IFERROR(RANK(Valor_normalizado!O37,Valor_normalizado!O$34:O$65,0),"NA"))</f>
        <v>4</v>
      </c>
      <c r="P37" s="66">
        <f>IF(Valor_normalizado!P37=0,32,IFERROR(RANK(Valor_normalizado!P37,Valor_normalizado!P$34:P$65,0),"NA"))</f>
        <v>2</v>
      </c>
      <c r="Q37" s="66">
        <f>IF(Valor_normalizado!Q37=0,32,IFERROR(RANK(Valor_normalizado!Q37,Valor_normalizado!Q$34:Q$65,0),"NA"))</f>
        <v>18</v>
      </c>
      <c r="R37" s="66">
        <f>IF(Valor_normalizado!R37=0,32,IFERROR(RANK(Valor_normalizado!R37,Valor_normalizado!R$34:R$65,0),"NA"))</f>
        <v>3</v>
      </c>
      <c r="S37" s="66">
        <f>IF(Valor_normalizado!S37=0,32,IFERROR(RANK(Valor_normalizado!S37,Valor_normalizado!S$34:S$65,0),"NA"))</f>
        <v>4</v>
      </c>
      <c r="T37" s="66">
        <f>IF(Valor_normalizado!T37=0,32,IFERROR(RANK(Valor_normalizado!T37,Valor_normalizado!T$34:T$65,0),"NA"))</f>
        <v>1</v>
      </c>
      <c r="U37" s="66">
        <f>IF(Valor_normalizado!U37=0,32,IFERROR(RANK(Valor_normalizado!U37,Valor_normalizado!U$34:U$65,0),"NA"))</f>
        <v>3</v>
      </c>
      <c r="V37" s="66">
        <f>IF(Valor_normalizado!V37=0,32,IFERROR(RANK(Valor_normalizado!V37,Valor_normalizado!V$34:V$65,0),"NA"))</f>
        <v>1</v>
      </c>
      <c r="W37" s="66">
        <f>IF(Valor_normalizado!W37=0,32,IFERROR(RANK(Valor_normalizado!W37,Valor_normalizado!W$34:W$65,0),"NA"))</f>
        <v>2</v>
      </c>
      <c r="X37" s="66">
        <f>IF(Valor_normalizado!X37=0,32,IFERROR(RANK(Valor_normalizado!X37,Valor_normalizado!X$34:X$65,0),"NA"))</f>
        <v>1</v>
      </c>
      <c r="Y37" s="66">
        <f>IF(Valor_normalizado!Y37=0,32,IFERROR(RANK(Valor_normalizado!Y37,Valor_normalizado!Y$34:Y$65,0),"NA"))</f>
        <v>1</v>
      </c>
    </row>
    <row r="38" ht="14.25" customHeight="1">
      <c r="A38" s="49" t="s">
        <v>310</v>
      </c>
      <c r="B38" s="23">
        <v>2020.0</v>
      </c>
      <c r="C38" s="66">
        <f>IF(Valor_normalizado!C38=0,32,IFERROR(RANK(Valor_normalizado!C38,Valor_normalizado!C$34:C$65,0),"NA"))</f>
        <v>8</v>
      </c>
      <c r="D38" s="66">
        <f>IF(Valor_normalizado!D38=0,32,IFERROR(RANK(Valor_normalizado!D38,Valor_normalizado!D$34:D$65,0),"NA"))</f>
        <v>8</v>
      </c>
      <c r="E38" s="66">
        <f>IF(Valor_normalizado!E38=0,32,IFERROR(RANK(Valor_normalizado!E38,Valor_normalizado!E$34:E$65,0),"NA"))</f>
        <v>4</v>
      </c>
      <c r="F38" s="66">
        <f>IF(Valor_normalizado!F38=0,32,IFERROR(RANK(Valor_normalizado!F38,Valor_normalizado!F$34:F$65,0),"NA"))</f>
        <v>5</v>
      </c>
      <c r="G38" s="66">
        <f>IF(Valor_normalizado!G38=0,32,IFERROR(RANK(Valor_normalizado!G38,Valor_normalizado!G$34:G$65,0),"NA"))</f>
        <v>5</v>
      </c>
      <c r="H38" s="66">
        <f>IF(Valor_normalizado!H38=0,32,IFERROR(RANK(Valor_normalizado!H38,Valor_normalizado!H$34:H$65,0),"NA"))</f>
        <v>7</v>
      </c>
      <c r="I38" s="66">
        <f>IF(Valor_normalizado!I38=0,32,IFERROR(RANK(Valor_normalizado!I38,Valor_normalizado!I$34:I$65,0),"NA"))</f>
        <v>7</v>
      </c>
      <c r="J38" s="66">
        <f>IF(Valor_normalizado!J38=0,32,IFERROR(RANK(Valor_normalizado!J38,Valor_normalizado!J$34:J$65,0),"NA"))</f>
        <v>4</v>
      </c>
      <c r="K38" s="66">
        <f>IF(Valor_normalizado!K38=0,32,IFERROR(RANK(Valor_normalizado!K38,Valor_normalizado!K$34:K$65,0),"NA"))</f>
        <v>6</v>
      </c>
      <c r="L38" s="66">
        <f>IF(Valor_normalizado!L38=0,32,IFERROR(RANK(Valor_normalizado!L38,Valor_normalizado!L$34:L$65,0),"NA"))</f>
        <v>5</v>
      </c>
      <c r="M38" s="66">
        <f>IF(Valor_normalizado!M38=0,32,IFERROR(RANK(Valor_normalizado!M38,Valor_normalizado!M$34:M$65,0),"NA"))</f>
        <v>8</v>
      </c>
      <c r="N38" s="66">
        <f>IF(Valor_normalizado!N38=0,32,IFERROR(RANK(Valor_normalizado!N38,Valor_normalizado!N$34:N$65,0),"NA"))</f>
        <v>8</v>
      </c>
      <c r="O38" s="66">
        <f>IF(Valor_normalizado!O38=0,32,IFERROR(RANK(Valor_normalizado!O38,Valor_normalizado!O$34:O$65,0),"NA"))</f>
        <v>6</v>
      </c>
      <c r="P38" s="66">
        <f>IF(Valor_normalizado!P38=0,32,IFERROR(RANK(Valor_normalizado!P38,Valor_normalizado!P$34:P$65,0),"NA"))</f>
        <v>13</v>
      </c>
      <c r="Q38" s="66">
        <f>IF(Valor_normalizado!Q38=0,32,IFERROR(RANK(Valor_normalizado!Q38,Valor_normalizado!Q$34:Q$65,0),"NA"))</f>
        <v>12</v>
      </c>
      <c r="R38" s="66">
        <f>IF(Valor_normalizado!R38=0,32,IFERROR(RANK(Valor_normalizado!R38,Valor_normalizado!R$34:R$65,0),"NA"))</f>
        <v>8</v>
      </c>
      <c r="S38" s="66">
        <f>IF(Valor_normalizado!S38=0,32,IFERROR(RANK(Valor_normalizado!S38,Valor_normalizado!S$34:S$65,0),"NA"))</f>
        <v>9</v>
      </c>
      <c r="T38" s="66">
        <f>IF(Valor_normalizado!T38=0,32,IFERROR(RANK(Valor_normalizado!T38,Valor_normalizado!T$34:T$65,0),"NA"))</f>
        <v>8</v>
      </c>
      <c r="U38" s="66">
        <f>IF(Valor_normalizado!U38=0,32,IFERROR(RANK(Valor_normalizado!U38,Valor_normalizado!U$34:U$65,0),"NA"))</f>
        <v>7</v>
      </c>
      <c r="V38" s="66">
        <f>IF(Valor_normalizado!V38=0,32,IFERROR(RANK(Valor_normalizado!V38,Valor_normalizado!V$34:V$65,0),"NA"))</f>
        <v>7</v>
      </c>
      <c r="W38" s="66">
        <f>IF(Valor_normalizado!W38=0,32,IFERROR(RANK(Valor_normalizado!W38,Valor_normalizado!W$34:W$65,0),"NA"))</f>
        <v>7</v>
      </c>
      <c r="X38" s="66">
        <f>IF(Valor_normalizado!X38=0,32,IFERROR(RANK(Valor_normalizado!X38,Valor_normalizado!X$34:X$65,0),"NA"))</f>
        <v>8</v>
      </c>
      <c r="Y38" s="66">
        <f>IF(Valor_normalizado!Y38=0,32,IFERROR(RANK(Valor_normalizado!Y38,Valor_normalizado!Y$34:Y$65,0),"NA"))</f>
        <v>5</v>
      </c>
    </row>
    <row r="39" ht="14.25" customHeight="1">
      <c r="A39" s="51" t="s">
        <v>311</v>
      </c>
      <c r="B39" s="23">
        <v>2020.0</v>
      </c>
      <c r="C39" s="66">
        <f>IF(Valor_normalizado!C39=0,32,IFERROR(RANK(Valor_normalizado!C39,Valor_normalizado!C$34:C$65,0),"NA"))</f>
        <v>6</v>
      </c>
      <c r="D39" s="66">
        <f>IF(Valor_normalizado!D39=0,32,IFERROR(RANK(Valor_normalizado!D39,Valor_normalizado!D$34:D$65,0),"NA"))</f>
        <v>4</v>
      </c>
      <c r="E39" s="66">
        <f>IF(Valor_normalizado!E39=0,32,IFERROR(RANK(Valor_normalizado!E39,Valor_normalizado!E$34:E$65,0),"NA"))</f>
        <v>3</v>
      </c>
      <c r="F39" s="66">
        <f>IF(Valor_normalizado!F39=0,32,IFERROR(RANK(Valor_normalizado!F39,Valor_normalizado!F$34:F$65,0),"NA"))</f>
        <v>3</v>
      </c>
      <c r="G39" s="66">
        <f>IF(Valor_normalizado!G39=0,32,IFERROR(RANK(Valor_normalizado!G39,Valor_normalizado!G$34:G$65,0),"NA"))</f>
        <v>3</v>
      </c>
      <c r="H39" s="66">
        <f>IF(Valor_normalizado!H39=0,32,IFERROR(RANK(Valor_normalizado!H39,Valor_normalizado!H$34:H$65,0),"NA"))</f>
        <v>17</v>
      </c>
      <c r="I39" s="66">
        <f>IF(Valor_normalizado!I39=0,32,IFERROR(RANK(Valor_normalizado!I39,Valor_normalizado!I$34:I$65,0),"NA"))</f>
        <v>14</v>
      </c>
      <c r="J39" s="66">
        <f>IF(Valor_normalizado!J39=0,32,IFERROR(RANK(Valor_normalizado!J39,Valor_normalizado!J$34:J$65,0),"NA"))</f>
        <v>11</v>
      </c>
      <c r="K39" s="66">
        <f>IF(Valor_normalizado!K39=0,32,IFERROR(RANK(Valor_normalizado!K39,Valor_normalizado!K$34:K$65,0),"NA"))</f>
        <v>12</v>
      </c>
      <c r="L39" s="66">
        <f>IF(Valor_normalizado!L39=0,32,IFERROR(RANK(Valor_normalizado!L39,Valor_normalizado!L$34:L$65,0),"NA"))</f>
        <v>9</v>
      </c>
      <c r="M39" s="66">
        <f>IF(Valor_normalizado!M39=0,32,IFERROR(RANK(Valor_normalizado!M39,Valor_normalizado!M$34:M$65,0),"NA"))</f>
        <v>10</v>
      </c>
      <c r="N39" s="66">
        <f>IF(Valor_normalizado!N39=0,32,IFERROR(RANK(Valor_normalizado!N39,Valor_normalizado!N$34:N$65,0),"NA"))</f>
        <v>9</v>
      </c>
      <c r="O39" s="66">
        <f>IF(Valor_normalizado!O39=0,32,IFERROR(RANK(Valor_normalizado!O39,Valor_normalizado!O$34:O$65,0),"NA"))</f>
        <v>12</v>
      </c>
      <c r="P39" s="66">
        <f>IF(Valor_normalizado!P39=0,32,IFERROR(RANK(Valor_normalizado!P39,Valor_normalizado!P$34:P$65,0),"NA"))</f>
        <v>9</v>
      </c>
      <c r="Q39" s="66">
        <f>IF(Valor_normalizado!Q39=0,32,IFERROR(RANK(Valor_normalizado!Q39,Valor_normalizado!Q$34:Q$65,0),"NA"))</f>
        <v>11</v>
      </c>
      <c r="R39" s="66">
        <f>IF(Valor_normalizado!R39=0,32,IFERROR(RANK(Valor_normalizado!R39,Valor_normalizado!R$34:R$65,0),"NA"))</f>
        <v>9</v>
      </c>
      <c r="S39" s="66">
        <f>IF(Valor_normalizado!S39=0,32,IFERROR(RANK(Valor_normalizado!S39,Valor_normalizado!S$34:S$65,0),"NA"))</f>
        <v>10</v>
      </c>
      <c r="T39" s="66">
        <f>IF(Valor_normalizado!T39=0,32,IFERROR(RANK(Valor_normalizado!T39,Valor_normalizado!T$34:T$65,0),"NA"))</f>
        <v>7</v>
      </c>
      <c r="U39" s="66">
        <f>IF(Valor_normalizado!U39=0,32,IFERROR(RANK(Valor_normalizado!U39,Valor_normalizado!U$34:U$65,0),"NA"))</f>
        <v>6</v>
      </c>
      <c r="V39" s="66">
        <f>IF(Valor_normalizado!V39=0,32,IFERROR(RANK(Valor_normalizado!V39,Valor_normalizado!V$34:V$65,0),"NA"))</f>
        <v>3</v>
      </c>
      <c r="W39" s="66">
        <f>IF(Valor_normalizado!W39=0,32,IFERROR(RANK(Valor_normalizado!W39,Valor_normalizado!W$34:W$65,0),"NA"))</f>
        <v>6</v>
      </c>
      <c r="X39" s="66">
        <f>IF(Valor_normalizado!X39=0,32,IFERROR(RANK(Valor_normalizado!X39,Valor_normalizado!X$34:X$65,0),"NA"))</f>
        <v>7</v>
      </c>
      <c r="Y39" s="66">
        <f>IF(Valor_normalizado!Y39=0,32,IFERROR(RANK(Valor_normalizado!Y39,Valor_normalizado!Y$34:Y$65,0),"NA"))</f>
        <v>4</v>
      </c>
    </row>
    <row r="40" ht="14.25" customHeight="1">
      <c r="A40" s="49" t="s">
        <v>318</v>
      </c>
      <c r="B40" s="23">
        <v>2020.0</v>
      </c>
      <c r="C40" s="66">
        <f>IF(Valor_normalizado!C40=0,32,IFERROR(RANK(Valor_normalizado!C40,Valor_normalizado!C$34:C$65,0),"NA"))</f>
        <v>17</v>
      </c>
      <c r="D40" s="66">
        <f>IF(Valor_normalizado!D40=0,32,IFERROR(RANK(Valor_normalizado!D40,Valor_normalizado!D$34:D$65,0),"NA"))</f>
        <v>2</v>
      </c>
      <c r="E40" s="66">
        <f>IF(Valor_normalizado!E40=0,32,IFERROR(RANK(Valor_normalizado!E40,Valor_normalizado!E$34:E$65,0),"NA"))</f>
        <v>23</v>
      </c>
      <c r="F40" s="66">
        <f>IF(Valor_normalizado!F40=0,32,IFERROR(RANK(Valor_normalizado!F40,Valor_normalizado!F$34:F$65,0),"NA"))</f>
        <v>22</v>
      </c>
      <c r="G40" s="66">
        <f>IF(Valor_normalizado!G40=0,32,IFERROR(RANK(Valor_normalizado!G40,Valor_normalizado!G$34:G$65,0),"NA"))</f>
        <v>18</v>
      </c>
      <c r="H40" s="66">
        <f>IF(Valor_normalizado!H40=0,32,IFERROR(RANK(Valor_normalizado!H40,Valor_normalizado!H$34:H$65,0),"NA"))</f>
        <v>24</v>
      </c>
      <c r="I40" s="66">
        <f>IF(Valor_normalizado!I40=0,32,IFERROR(RANK(Valor_normalizado!I40,Valor_normalizado!I$34:I$65,0),"NA"))</f>
        <v>17</v>
      </c>
      <c r="J40" s="66">
        <f>IF(Valor_normalizado!J40=0,32,IFERROR(RANK(Valor_normalizado!J40,Valor_normalizado!J$34:J$65,0),"NA"))</f>
        <v>16</v>
      </c>
      <c r="K40" s="66">
        <f>IF(Valor_normalizado!K40=0,32,IFERROR(RANK(Valor_normalizado!K40,Valor_normalizado!K$34:K$65,0),"NA"))</f>
        <v>17</v>
      </c>
      <c r="L40" s="66">
        <f>IF(Valor_normalizado!L40=0,32,IFERROR(RANK(Valor_normalizado!L40,Valor_normalizado!L$34:L$65,0),"NA"))</f>
        <v>18</v>
      </c>
      <c r="M40" s="66">
        <f>IF(Valor_normalizado!M40=0,32,IFERROR(RANK(Valor_normalizado!M40,Valor_normalizado!M$34:M$65,0),"NA"))</f>
        <v>13</v>
      </c>
      <c r="N40" s="66">
        <f>IF(Valor_normalizado!N40=0,32,IFERROR(RANK(Valor_normalizado!N40,Valor_normalizado!N$34:N$65,0),"NA"))</f>
        <v>15</v>
      </c>
      <c r="O40" s="66">
        <f>IF(Valor_normalizado!O40=0,32,IFERROR(RANK(Valor_normalizado!O40,Valor_normalizado!O$34:O$65,0),"NA"))</f>
        <v>13</v>
      </c>
      <c r="P40" s="66">
        <f>IF(Valor_normalizado!P40=0,32,IFERROR(RANK(Valor_normalizado!P40,Valor_normalizado!P$34:P$65,0),"NA"))</f>
        <v>32</v>
      </c>
      <c r="Q40" s="66">
        <f>IF(Valor_normalizado!Q40=0,32,IFERROR(RANK(Valor_normalizado!Q40,Valor_normalizado!Q$34:Q$65,0),"NA"))</f>
        <v>10</v>
      </c>
      <c r="R40" s="66">
        <f>IF(Valor_normalizado!R40=0,32,IFERROR(RANK(Valor_normalizado!R40,Valor_normalizado!R$34:R$65,0),"NA"))</f>
        <v>22</v>
      </c>
      <c r="S40" s="66">
        <f>IF(Valor_normalizado!S40=0,32,IFERROR(RANK(Valor_normalizado!S40,Valor_normalizado!S$34:S$65,0),"NA"))</f>
        <v>19</v>
      </c>
      <c r="T40" s="66">
        <f>IF(Valor_normalizado!T40=0,32,IFERROR(RANK(Valor_normalizado!T40,Valor_normalizado!T$34:T$65,0),"NA"))</f>
        <v>15</v>
      </c>
      <c r="U40" s="66">
        <f>IF(Valor_normalizado!U40=0,32,IFERROR(RANK(Valor_normalizado!U40,Valor_normalizado!U$34:U$65,0),"NA"))</f>
        <v>10</v>
      </c>
      <c r="V40" s="66">
        <f>IF(Valor_normalizado!V40=0,32,IFERROR(RANK(Valor_normalizado!V40,Valor_normalizado!V$34:V$65,0),"NA"))</f>
        <v>12</v>
      </c>
      <c r="W40" s="66">
        <f>IF(Valor_normalizado!W40=0,32,IFERROR(RANK(Valor_normalizado!W40,Valor_normalizado!W$34:W$65,0),"NA"))</f>
        <v>16</v>
      </c>
      <c r="X40" s="66">
        <f>IF(Valor_normalizado!X40=0,32,IFERROR(RANK(Valor_normalizado!X40,Valor_normalizado!X$34:X$65,0),"NA"))</f>
        <v>19</v>
      </c>
      <c r="Y40" s="66">
        <f>IF(Valor_normalizado!Y40=0,32,IFERROR(RANK(Valor_normalizado!Y40,Valor_normalizado!Y$34:Y$65,0),"NA"))</f>
        <v>11</v>
      </c>
    </row>
    <row r="41" ht="14.25" customHeight="1">
      <c r="A41" s="51" t="s">
        <v>324</v>
      </c>
      <c r="B41" s="23">
        <v>2020.0</v>
      </c>
      <c r="C41" s="66">
        <f>IF(Valor_normalizado!C41=0,32,IFERROR(RANK(Valor_normalizado!C41,Valor_normalizado!C$34:C$65,0),"NA"))</f>
        <v>19</v>
      </c>
      <c r="D41" s="66">
        <f>IF(Valor_normalizado!D41=0,32,IFERROR(RANK(Valor_normalizado!D41,Valor_normalizado!D$34:D$65,0),"NA"))</f>
        <v>5</v>
      </c>
      <c r="E41" s="66">
        <f>IF(Valor_normalizado!E41=0,32,IFERROR(RANK(Valor_normalizado!E41,Valor_normalizado!E$34:E$65,0),"NA"))</f>
        <v>16</v>
      </c>
      <c r="F41" s="66">
        <f>IF(Valor_normalizado!F41=0,32,IFERROR(RANK(Valor_normalizado!F41,Valor_normalizado!F$34:F$65,0),"NA"))</f>
        <v>15</v>
      </c>
      <c r="G41" s="66">
        <f>IF(Valor_normalizado!G41=0,32,IFERROR(RANK(Valor_normalizado!G41,Valor_normalizado!G$34:G$65,0),"NA"))</f>
        <v>16</v>
      </c>
      <c r="H41" s="66">
        <f>IF(Valor_normalizado!H41=0,32,IFERROR(RANK(Valor_normalizado!H41,Valor_normalizado!H$34:H$65,0),"NA"))</f>
        <v>21</v>
      </c>
      <c r="I41" s="66">
        <f>IF(Valor_normalizado!I41=0,32,IFERROR(RANK(Valor_normalizado!I41,Valor_normalizado!I$34:I$65,0),"NA"))</f>
        <v>16</v>
      </c>
      <c r="J41" s="66">
        <f>IF(Valor_normalizado!J41=0,32,IFERROR(RANK(Valor_normalizado!J41,Valor_normalizado!J$34:J$65,0),"NA"))</f>
        <v>15</v>
      </c>
      <c r="K41" s="66">
        <f>IF(Valor_normalizado!K41=0,32,IFERROR(RANK(Valor_normalizado!K41,Valor_normalizado!K$34:K$65,0),"NA"))</f>
        <v>16</v>
      </c>
      <c r="L41" s="66">
        <f>IF(Valor_normalizado!L41=0,32,IFERROR(RANK(Valor_normalizado!L41,Valor_normalizado!L$34:L$65,0),"NA"))</f>
        <v>15</v>
      </c>
      <c r="M41" s="66">
        <f>IF(Valor_normalizado!M41=0,32,IFERROR(RANK(Valor_normalizado!M41,Valor_normalizado!M$34:M$65,0),"NA"))</f>
        <v>21</v>
      </c>
      <c r="N41" s="66">
        <f>IF(Valor_normalizado!N41=0,32,IFERROR(RANK(Valor_normalizado!N41,Valor_normalizado!N$34:N$65,0),"NA"))</f>
        <v>11</v>
      </c>
      <c r="O41" s="66">
        <f>IF(Valor_normalizado!O41=0,32,IFERROR(RANK(Valor_normalizado!O41,Valor_normalizado!O$34:O$65,0),"NA"))</f>
        <v>23</v>
      </c>
      <c r="P41" s="66">
        <f>IF(Valor_normalizado!P41=0,32,IFERROR(RANK(Valor_normalizado!P41,Valor_normalizado!P$34:P$65,0),"NA"))</f>
        <v>19</v>
      </c>
      <c r="Q41" s="66">
        <f>IF(Valor_normalizado!Q41=0,32,IFERROR(RANK(Valor_normalizado!Q41,Valor_normalizado!Q$34:Q$65,0),"NA"))</f>
        <v>5</v>
      </c>
      <c r="R41" s="66">
        <f>IF(Valor_normalizado!R41=0,32,IFERROR(RANK(Valor_normalizado!R41,Valor_normalizado!R$34:R$65,0),"NA"))</f>
        <v>17</v>
      </c>
      <c r="S41" s="66">
        <f>IF(Valor_normalizado!S41=0,32,IFERROR(RANK(Valor_normalizado!S41,Valor_normalizado!S$34:S$65,0),"NA"))</f>
        <v>13</v>
      </c>
      <c r="T41" s="66">
        <f>IF(Valor_normalizado!T41=0,32,IFERROR(RANK(Valor_normalizado!T41,Valor_normalizado!T$34:T$65,0),"NA"))</f>
        <v>10</v>
      </c>
      <c r="U41" s="66">
        <f>IF(Valor_normalizado!U41=0,32,IFERROR(RANK(Valor_normalizado!U41,Valor_normalizado!U$34:U$65,0),"NA"))</f>
        <v>15</v>
      </c>
      <c r="V41" s="66">
        <f>IF(Valor_normalizado!V41=0,32,IFERROR(RANK(Valor_normalizado!V41,Valor_normalizado!V$34:V$65,0),"NA"))</f>
        <v>14</v>
      </c>
      <c r="W41" s="66">
        <f>IF(Valor_normalizado!W41=0,32,IFERROR(RANK(Valor_normalizado!W41,Valor_normalizado!W$34:W$65,0),"NA"))</f>
        <v>15</v>
      </c>
      <c r="X41" s="66">
        <f>IF(Valor_normalizado!X41=0,32,IFERROR(RANK(Valor_normalizado!X41,Valor_normalizado!X$34:X$65,0),"NA"))</f>
        <v>16</v>
      </c>
      <c r="Y41" s="66">
        <f>IF(Valor_normalizado!Y41=0,32,IFERROR(RANK(Valor_normalizado!Y41,Valor_normalizado!Y$34:Y$65,0),"NA"))</f>
        <v>17</v>
      </c>
    </row>
    <row r="42" ht="14.25" customHeight="1">
      <c r="A42" s="49" t="s">
        <v>327</v>
      </c>
      <c r="B42" s="23">
        <v>2020.0</v>
      </c>
      <c r="C42" s="66">
        <f>IF(Valor_normalizado!C42=0,32,IFERROR(RANK(Valor_normalizado!C42,Valor_normalizado!C$34:C$65,0),"NA"))</f>
        <v>22</v>
      </c>
      <c r="D42" s="66">
        <f>IF(Valor_normalizado!D42=0,32,IFERROR(RANK(Valor_normalizado!D42,Valor_normalizado!D$34:D$65,0),"NA"))</f>
        <v>23</v>
      </c>
      <c r="E42" s="66">
        <f>IF(Valor_normalizado!E42=0,32,IFERROR(RANK(Valor_normalizado!E42,Valor_normalizado!E$34:E$65,0),"NA"))</f>
        <v>19</v>
      </c>
      <c r="F42" s="66">
        <f>IF(Valor_normalizado!F42=0,32,IFERROR(RANK(Valor_normalizado!F42,Valor_normalizado!F$34:F$65,0),"NA"))</f>
        <v>21</v>
      </c>
      <c r="G42" s="66">
        <f>IF(Valor_normalizado!G42=0,32,IFERROR(RANK(Valor_normalizado!G42,Valor_normalizado!G$34:G$65,0),"NA"))</f>
        <v>21</v>
      </c>
      <c r="H42" s="66">
        <f>IF(Valor_normalizado!H42=0,32,IFERROR(RANK(Valor_normalizado!H42,Valor_normalizado!H$34:H$65,0),"NA"))</f>
        <v>23</v>
      </c>
      <c r="I42" s="66">
        <f>IF(Valor_normalizado!I42=0,32,IFERROR(RANK(Valor_normalizado!I42,Valor_normalizado!I$34:I$65,0),"NA"))</f>
        <v>29</v>
      </c>
      <c r="J42" s="66">
        <f>IF(Valor_normalizado!J42=0,32,IFERROR(RANK(Valor_normalizado!J42,Valor_normalizado!J$34:J$65,0),"NA"))</f>
        <v>7</v>
      </c>
      <c r="K42" s="66">
        <f>IF(Valor_normalizado!K42=0,32,IFERROR(RANK(Valor_normalizado!K42,Valor_normalizado!K$34:K$65,0),"NA"))</f>
        <v>20</v>
      </c>
      <c r="L42" s="66">
        <f>IF(Valor_normalizado!L42=0,32,IFERROR(RANK(Valor_normalizado!L42,Valor_normalizado!L$34:L$65,0),"NA"))</f>
        <v>20</v>
      </c>
      <c r="M42" s="66">
        <f>IF(Valor_normalizado!M42=0,32,IFERROR(RANK(Valor_normalizado!M42,Valor_normalizado!M$34:M$65,0),"NA"))</f>
        <v>24</v>
      </c>
      <c r="N42" s="66">
        <f>IF(Valor_normalizado!N42=0,32,IFERROR(RANK(Valor_normalizado!N42,Valor_normalizado!N$34:N$65,0),"NA"))</f>
        <v>32</v>
      </c>
      <c r="O42" s="66">
        <f>IF(Valor_normalizado!O42=0,32,IFERROR(RANK(Valor_normalizado!O42,Valor_normalizado!O$34:O$65,0),"NA"))</f>
        <v>21</v>
      </c>
      <c r="P42" s="66">
        <f>IF(Valor_normalizado!P42=0,32,IFERROR(RANK(Valor_normalizado!P42,Valor_normalizado!P$34:P$65,0),"NA"))</f>
        <v>10</v>
      </c>
      <c r="Q42" s="66">
        <f>IF(Valor_normalizado!Q42=0,32,IFERROR(RANK(Valor_normalizado!Q42,Valor_normalizado!Q$34:Q$65,0),"NA"))</f>
        <v>22</v>
      </c>
      <c r="R42" s="66">
        <f>IF(Valor_normalizado!R42=0,32,IFERROR(RANK(Valor_normalizado!R42,Valor_normalizado!R$34:R$65,0),"NA"))</f>
        <v>21</v>
      </c>
      <c r="S42" s="66">
        <f>IF(Valor_normalizado!S42=0,32,IFERROR(RANK(Valor_normalizado!S42,Valor_normalizado!S$34:S$65,0),"NA"))</f>
        <v>15</v>
      </c>
      <c r="T42" s="66">
        <f>IF(Valor_normalizado!T42=0,32,IFERROR(RANK(Valor_normalizado!T42,Valor_normalizado!T$34:T$65,0),"NA"))</f>
        <v>32</v>
      </c>
      <c r="U42" s="66">
        <f>IF(Valor_normalizado!U42=0,32,IFERROR(RANK(Valor_normalizado!U42,Valor_normalizado!U$34:U$65,0),"NA"))</f>
        <v>32</v>
      </c>
      <c r="V42" s="66">
        <f>IF(Valor_normalizado!V42=0,32,IFERROR(RANK(Valor_normalizado!V42,Valor_normalizado!V$34:V$65,0),"NA"))</f>
        <v>26</v>
      </c>
      <c r="W42" s="66">
        <f>IF(Valor_normalizado!W42=0,32,IFERROR(RANK(Valor_normalizado!W42,Valor_normalizado!W$34:W$65,0),"NA"))</f>
        <v>20</v>
      </c>
      <c r="X42" s="66">
        <f>IF(Valor_normalizado!X42=0,32,IFERROR(RANK(Valor_normalizado!X42,Valor_normalizado!X$34:X$65,0),"NA"))</f>
        <v>23</v>
      </c>
      <c r="Y42" s="66">
        <f>IF(Valor_normalizado!Y42=0,32,IFERROR(RANK(Valor_normalizado!Y42,Valor_normalizado!Y$34:Y$65,0),"NA"))</f>
        <v>23</v>
      </c>
    </row>
    <row r="43" ht="14.25" customHeight="1">
      <c r="A43" s="51" t="s">
        <v>313</v>
      </c>
      <c r="B43" s="23">
        <v>2020.0</v>
      </c>
      <c r="C43" s="66">
        <f>IF(Valor_normalizado!C43=0,32,IFERROR(RANK(Valor_normalizado!C43,Valor_normalizado!C$34:C$65,0),"NA"))</f>
        <v>9</v>
      </c>
      <c r="D43" s="66">
        <f>IF(Valor_normalizado!D43=0,32,IFERROR(RANK(Valor_normalizado!D43,Valor_normalizado!D$34:D$65,0),"NA"))</f>
        <v>9</v>
      </c>
      <c r="E43" s="66">
        <f>IF(Valor_normalizado!E43=0,32,IFERROR(RANK(Valor_normalizado!E43,Valor_normalizado!E$34:E$65,0),"NA"))</f>
        <v>10</v>
      </c>
      <c r="F43" s="66">
        <f>IF(Valor_normalizado!F43=0,32,IFERROR(RANK(Valor_normalizado!F43,Valor_normalizado!F$34:F$65,0),"NA"))</f>
        <v>6</v>
      </c>
      <c r="G43" s="66">
        <f>IF(Valor_normalizado!G43=0,32,IFERROR(RANK(Valor_normalizado!G43,Valor_normalizado!G$34:G$65,0),"NA"))</f>
        <v>7</v>
      </c>
      <c r="H43" s="66">
        <f>IF(Valor_normalizado!H43=0,32,IFERROR(RANK(Valor_normalizado!H43,Valor_normalizado!H$34:H$65,0),"NA"))</f>
        <v>8</v>
      </c>
      <c r="I43" s="66">
        <f>IF(Valor_normalizado!I43=0,32,IFERROR(RANK(Valor_normalizado!I43,Valor_normalizado!I$34:I$65,0),"NA"))</f>
        <v>5</v>
      </c>
      <c r="J43" s="66">
        <f>IF(Valor_normalizado!J43=0,32,IFERROR(RANK(Valor_normalizado!J43,Valor_normalizado!J$34:J$65,0),"NA"))</f>
        <v>8</v>
      </c>
      <c r="K43" s="66">
        <f>IF(Valor_normalizado!K43=0,32,IFERROR(RANK(Valor_normalizado!K43,Valor_normalizado!K$34:K$65,0),"NA"))</f>
        <v>8</v>
      </c>
      <c r="L43" s="66">
        <f>IF(Valor_normalizado!L43=0,32,IFERROR(RANK(Valor_normalizado!L43,Valor_normalizado!L$34:L$65,0),"NA"))</f>
        <v>8</v>
      </c>
      <c r="M43" s="66">
        <f>IF(Valor_normalizado!M43=0,32,IFERROR(RANK(Valor_normalizado!M43,Valor_normalizado!M$34:M$65,0),"NA"))</f>
        <v>17</v>
      </c>
      <c r="N43" s="66">
        <f>IF(Valor_normalizado!N43=0,32,IFERROR(RANK(Valor_normalizado!N43,Valor_normalizado!N$34:N$65,0),"NA"))</f>
        <v>32</v>
      </c>
      <c r="O43" s="66">
        <f>IF(Valor_normalizado!O43=0,32,IFERROR(RANK(Valor_normalizado!O43,Valor_normalizado!O$34:O$65,0),"NA"))</f>
        <v>18</v>
      </c>
      <c r="P43" s="66">
        <f>IF(Valor_normalizado!P43=0,32,IFERROR(RANK(Valor_normalizado!P43,Valor_normalizado!P$34:P$65,0),"NA"))</f>
        <v>4</v>
      </c>
      <c r="Q43" s="66">
        <f>IF(Valor_normalizado!Q43=0,32,IFERROR(RANK(Valor_normalizado!Q43,Valor_normalizado!Q$34:Q$65,0),"NA"))</f>
        <v>9</v>
      </c>
      <c r="R43" s="66">
        <f>IF(Valor_normalizado!R43=0,32,IFERROR(RANK(Valor_normalizado!R43,Valor_normalizado!R$34:R$65,0),"NA"))</f>
        <v>15</v>
      </c>
      <c r="S43" s="66">
        <f>IF(Valor_normalizado!S43=0,32,IFERROR(RANK(Valor_normalizado!S43,Valor_normalizado!S$34:S$65,0),"NA"))</f>
        <v>16</v>
      </c>
      <c r="T43" s="66">
        <f>IF(Valor_normalizado!T43=0,32,IFERROR(RANK(Valor_normalizado!T43,Valor_normalizado!T$34:T$65,0),"NA"))</f>
        <v>14</v>
      </c>
      <c r="U43" s="66">
        <f>IF(Valor_normalizado!U43=0,32,IFERROR(RANK(Valor_normalizado!U43,Valor_normalizado!U$34:U$65,0),"NA"))</f>
        <v>2</v>
      </c>
      <c r="V43" s="66">
        <f>IF(Valor_normalizado!V43=0,32,IFERROR(RANK(Valor_normalizado!V43,Valor_normalizado!V$34:V$65,0),"NA"))</f>
        <v>11</v>
      </c>
      <c r="W43" s="66">
        <f>IF(Valor_normalizado!W43=0,32,IFERROR(RANK(Valor_normalizado!W43,Valor_normalizado!W$34:W$65,0),"NA"))</f>
        <v>9</v>
      </c>
      <c r="X43" s="66">
        <f>IF(Valor_normalizado!X43=0,32,IFERROR(RANK(Valor_normalizado!X43,Valor_normalizado!X$34:X$65,0),"NA"))</f>
        <v>11</v>
      </c>
      <c r="Y43" s="66">
        <f>IF(Valor_normalizado!Y43=0,32,IFERROR(RANK(Valor_normalizado!Y43,Valor_normalizado!Y$34:Y$65,0),"NA"))</f>
        <v>12</v>
      </c>
    </row>
    <row r="44" ht="14.25" customHeight="1">
      <c r="A44" s="49" t="s">
        <v>334</v>
      </c>
      <c r="B44" s="23">
        <v>2020.0</v>
      </c>
      <c r="C44" s="66">
        <f>IF(Valor_normalizado!C44=0,32,IFERROR(RANK(Valor_normalizado!C44,Valor_normalizado!C$34:C$65,0),"NA"))</f>
        <v>30</v>
      </c>
      <c r="D44" s="66">
        <f>IF(Valor_normalizado!D44=0,32,IFERROR(RANK(Valor_normalizado!D44,Valor_normalizado!D$34:D$65,0),"NA"))</f>
        <v>31</v>
      </c>
      <c r="E44" s="66">
        <f>IF(Valor_normalizado!E44=0,32,IFERROR(RANK(Valor_normalizado!E44,Valor_normalizado!E$34:E$65,0),"NA"))</f>
        <v>29</v>
      </c>
      <c r="F44" s="66">
        <f>IF(Valor_normalizado!F44=0,32,IFERROR(RANK(Valor_normalizado!F44,Valor_normalizado!F$34:F$65,0),"NA"))</f>
        <v>30</v>
      </c>
      <c r="G44" s="66">
        <f>IF(Valor_normalizado!G44=0,32,IFERROR(RANK(Valor_normalizado!G44,Valor_normalizado!G$34:G$65,0),"NA"))</f>
        <v>30</v>
      </c>
      <c r="H44" s="66">
        <f>IF(Valor_normalizado!H44=0,32,IFERROR(RANK(Valor_normalizado!H44,Valor_normalizado!H$34:H$65,0),"NA"))</f>
        <v>20</v>
      </c>
      <c r="I44" s="66">
        <f>IF(Valor_normalizado!I44=0,32,IFERROR(RANK(Valor_normalizado!I44,Valor_normalizado!I$34:I$65,0),"NA"))</f>
        <v>27</v>
      </c>
      <c r="J44" s="66">
        <f>IF(Valor_normalizado!J44=0,32,IFERROR(RANK(Valor_normalizado!J44,Valor_normalizado!J$34:J$65,0),"NA"))</f>
        <v>10</v>
      </c>
      <c r="K44" s="66">
        <f>IF(Valor_normalizado!K44=0,32,IFERROR(RANK(Valor_normalizado!K44,Valor_normalizado!K$34:K$65,0),"NA"))</f>
        <v>18</v>
      </c>
      <c r="L44" s="66">
        <f>IF(Valor_normalizado!L44=0,32,IFERROR(RANK(Valor_normalizado!L44,Valor_normalizado!L$34:L$65,0),"NA"))</f>
        <v>28</v>
      </c>
      <c r="M44" s="66">
        <f>IF(Valor_normalizado!M44=0,32,IFERROR(RANK(Valor_normalizado!M44,Valor_normalizado!M$34:M$65,0),"NA"))</f>
        <v>32</v>
      </c>
      <c r="N44" s="66">
        <f>IF(Valor_normalizado!N44=0,32,IFERROR(RANK(Valor_normalizado!N44,Valor_normalizado!N$34:N$65,0),"NA"))</f>
        <v>32</v>
      </c>
      <c r="O44" s="66">
        <f>IF(Valor_normalizado!O44=0,32,IFERROR(RANK(Valor_normalizado!O44,Valor_normalizado!O$34:O$65,0),"NA"))</f>
        <v>32</v>
      </c>
      <c r="P44" s="66">
        <f>IF(Valor_normalizado!P44=0,32,IFERROR(RANK(Valor_normalizado!P44,Valor_normalizado!P$34:P$65,0),"NA"))</f>
        <v>32</v>
      </c>
      <c r="Q44" s="66">
        <f>IF(Valor_normalizado!Q44=0,32,IFERROR(RANK(Valor_normalizado!Q44,Valor_normalizado!Q$34:Q$65,0),"NA"))</f>
        <v>32</v>
      </c>
      <c r="R44" s="66">
        <f>IF(Valor_normalizado!R44=0,32,IFERROR(RANK(Valor_normalizado!R44,Valor_normalizado!R$34:R$65,0),"NA"))</f>
        <v>32</v>
      </c>
      <c r="S44" s="66">
        <f>IF(Valor_normalizado!S44=0,32,IFERROR(RANK(Valor_normalizado!S44,Valor_normalizado!S$34:S$65,0),"NA"))</f>
        <v>32</v>
      </c>
      <c r="T44" s="66">
        <f>IF(Valor_normalizado!T44=0,32,IFERROR(RANK(Valor_normalizado!T44,Valor_normalizado!T$34:T$65,0),"NA"))</f>
        <v>32</v>
      </c>
      <c r="U44" s="66">
        <f>IF(Valor_normalizado!U44=0,32,IFERROR(RANK(Valor_normalizado!U44,Valor_normalizado!U$34:U$65,0),"NA"))</f>
        <v>32</v>
      </c>
      <c r="V44" s="66">
        <f>IF(Valor_normalizado!V44=0,32,IFERROR(RANK(Valor_normalizado!V44,Valor_normalizado!V$34:V$65,0),"NA"))</f>
        <v>29</v>
      </c>
      <c r="W44" s="66">
        <f>IF(Valor_normalizado!W44=0,32,IFERROR(RANK(Valor_normalizado!W44,Valor_normalizado!W$34:W$65,0),"NA"))</f>
        <v>29</v>
      </c>
      <c r="X44" s="66">
        <f>IF(Valor_normalizado!X44=0,32,IFERROR(RANK(Valor_normalizado!X44,Valor_normalizado!X$34:X$65,0),"NA"))</f>
        <v>31</v>
      </c>
      <c r="Y44" s="66">
        <f>IF(Valor_normalizado!Y44=0,32,IFERROR(RANK(Valor_normalizado!Y44,Valor_normalizado!Y$34:Y$65,0),"NA"))</f>
        <v>32</v>
      </c>
    </row>
    <row r="45" ht="14.25" customHeight="1">
      <c r="A45" s="51" t="s">
        <v>335</v>
      </c>
      <c r="B45" s="23">
        <v>2020.0</v>
      </c>
      <c r="C45" s="66">
        <f>IF(Valor_normalizado!C45=0,32,IFERROR(RANK(Valor_normalizado!C45,Valor_normalizado!C$34:C$65,0),"NA"))</f>
        <v>31</v>
      </c>
      <c r="D45" s="66">
        <f>IF(Valor_normalizado!D45=0,32,IFERROR(RANK(Valor_normalizado!D45,Valor_normalizado!D$34:D$65,0),"NA"))</f>
        <v>29</v>
      </c>
      <c r="E45" s="66">
        <f>IF(Valor_normalizado!E45=0,32,IFERROR(RANK(Valor_normalizado!E45,Valor_normalizado!E$34:E$65,0),"NA"))</f>
        <v>32</v>
      </c>
      <c r="F45" s="66">
        <f>IF(Valor_normalizado!F45=0,32,IFERROR(RANK(Valor_normalizado!F45,Valor_normalizado!F$34:F$65,0),"NA"))</f>
        <v>31</v>
      </c>
      <c r="G45" s="66">
        <f>IF(Valor_normalizado!G45=0,32,IFERROR(RANK(Valor_normalizado!G45,Valor_normalizado!G$34:G$65,0),"NA"))</f>
        <v>32</v>
      </c>
      <c r="H45" s="66">
        <f>IF(Valor_normalizado!H45=0,32,IFERROR(RANK(Valor_normalizado!H45,Valor_normalizado!H$34:H$65,0),"NA"))</f>
        <v>31</v>
      </c>
      <c r="I45" s="66">
        <f>IF(Valor_normalizado!I45=0,32,IFERROR(RANK(Valor_normalizado!I45,Valor_normalizado!I$34:I$65,0),"NA"))</f>
        <v>31</v>
      </c>
      <c r="J45" s="66">
        <f>IF(Valor_normalizado!J45=0,32,IFERROR(RANK(Valor_normalizado!J45,Valor_normalizado!J$34:J$65,0),"NA"))</f>
        <v>28</v>
      </c>
      <c r="K45" s="66">
        <f>IF(Valor_normalizado!K45=0,32,IFERROR(RANK(Valor_normalizado!K45,Valor_normalizado!K$34:K$65,0),"NA"))</f>
        <v>31</v>
      </c>
      <c r="L45" s="66">
        <f>IF(Valor_normalizado!L45=0,32,IFERROR(RANK(Valor_normalizado!L45,Valor_normalizado!L$34:L$65,0),"NA"))</f>
        <v>31</v>
      </c>
      <c r="M45" s="66">
        <f>IF(Valor_normalizado!M45=0,32,IFERROR(RANK(Valor_normalizado!M45,Valor_normalizado!M$34:M$65,0),"NA"))</f>
        <v>4</v>
      </c>
      <c r="N45" s="66">
        <f>IF(Valor_normalizado!N45=0,32,IFERROR(RANK(Valor_normalizado!N45,Valor_normalizado!N$34:N$65,0),"NA"))</f>
        <v>32</v>
      </c>
      <c r="O45" s="66">
        <f>IF(Valor_normalizado!O45=0,32,IFERROR(RANK(Valor_normalizado!O45,Valor_normalizado!O$34:O$65,0),"NA"))</f>
        <v>17</v>
      </c>
      <c r="P45" s="66">
        <f>IF(Valor_normalizado!P45=0,32,IFERROR(RANK(Valor_normalizado!P45,Valor_normalizado!P$34:P$65,0),"NA"))</f>
        <v>18</v>
      </c>
      <c r="Q45" s="66">
        <f>IF(Valor_normalizado!Q45=0,32,IFERROR(RANK(Valor_normalizado!Q45,Valor_normalizado!Q$34:Q$65,0),"NA"))</f>
        <v>1</v>
      </c>
      <c r="R45" s="66">
        <f>IF(Valor_normalizado!R45=0,32,IFERROR(RANK(Valor_normalizado!R45,Valor_normalizado!R$34:R$65,0),"NA"))</f>
        <v>7</v>
      </c>
      <c r="S45" s="66">
        <f>IF(Valor_normalizado!S45=0,32,IFERROR(RANK(Valor_normalizado!S45,Valor_normalizado!S$34:S$65,0),"NA"))</f>
        <v>32</v>
      </c>
      <c r="T45" s="66">
        <f>IF(Valor_normalizado!T45=0,32,IFERROR(RANK(Valor_normalizado!T45,Valor_normalizado!T$34:T$65,0),"NA"))</f>
        <v>32</v>
      </c>
      <c r="U45" s="66">
        <f>IF(Valor_normalizado!U45=0,32,IFERROR(RANK(Valor_normalizado!U45,Valor_normalizado!U$34:U$65,0),"NA"))</f>
        <v>32</v>
      </c>
      <c r="V45" s="66">
        <f>IF(Valor_normalizado!V45=0,32,IFERROR(RANK(Valor_normalizado!V45,Valor_normalizado!V$34:V$65,0),"NA"))</f>
        <v>16</v>
      </c>
      <c r="W45" s="66">
        <f>IF(Valor_normalizado!W45=0,32,IFERROR(RANK(Valor_normalizado!W45,Valor_normalizado!W$34:W$65,0),"NA"))</f>
        <v>23</v>
      </c>
      <c r="X45" s="66">
        <f>IF(Valor_normalizado!X45=0,32,IFERROR(RANK(Valor_normalizado!X45,Valor_normalizado!X$34:X$65,0),"NA"))</f>
        <v>13</v>
      </c>
      <c r="Y45" s="66">
        <f>IF(Valor_normalizado!Y45=0,32,IFERROR(RANK(Valor_normalizado!Y45,Valor_normalizado!Y$34:Y$65,0),"NA"))</f>
        <v>28</v>
      </c>
    </row>
    <row r="46" ht="14.25" customHeight="1">
      <c r="A46" s="49" t="s">
        <v>315</v>
      </c>
      <c r="B46" s="23">
        <v>2020.0</v>
      </c>
      <c r="C46" s="66">
        <f>IF(Valor_normalizado!C46=0,32,IFERROR(RANK(Valor_normalizado!C46,Valor_normalizado!C$34:C$65,0),"NA"))</f>
        <v>11</v>
      </c>
      <c r="D46" s="66">
        <f>IF(Valor_normalizado!D46=0,32,IFERROR(RANK(Valor_normalizado!D46,Valor_normalizado!D$34:D$65,0),"NA"))</f>
        <v>16</v>
      </c>
      <c r="E46" s="66">
        <f>IF(Valor_normalizado!E46=0,32,IFERROR(RANK(Valor_normalizado!E46,Valor_normalizado!E$34:E$65,0),"NA"))</f>
        <v>6</v>
      </c>
      <c r="F46" s="66">
        <f>IF(Valor_normalizado!F46=0,32,IFERROR(RANK(Valor_normalizado!F46,Valor_normalizado!F$34:F$65,0),"NA"))</f>
        <v>10</v>
      </c>
      <c r="G46" s="66">
        <f>IF(Valor_normalizado!G46=0,32,IFERROR(RANK(Valor_normalizado!G46,Valor_normalizado!G$34:G$65,0),"NA"))</f>
        <v>8</v>
      </c>
      <c r="H46" s="66">
        <f>IF(Valor_normalizado!H46=0,32,IFERROR(RANK(Valor_normalizado!H46,Valor_normalizado!H$34:H$65,0),"NA"))</f>
        <v>5</v>
      </c>
      <c r="I46" s="66">
        <f>IF(Valor_normalizado!I46=0,32,IFERROR(RANK(Valor_normalizado!I46,Valor_normalizado!I$34:I$65,0),"NA"))</f>
        <v>3</v>
      </c>
      <c r="J46" s="66">
        <f>IF(Valor_normalizado!J46=0,32,IFERROR(RANK(Valor_normalizado!J46,Valor_normalizado!J$34:J$65,0),"NA"))</f>
        <v>2</v>
      </c>
      <c r="K46" s="66">
        <f>IF(Valor_normalizado!K46=0,32,IFERROR(RANK(Valor_normalizado!K46,Valor_normalizado!K$34:K$65,0),"NA"))</f>
        <v>2</v>
      </c>
      <c r="L46" s="66">
        <f>IF(Valor_normalizado!L46=0,32,IFERROR(RANK(Valor_normalizado!L46,Valor_normalizado!L$34:L$65,0),"NA"))</f>
        <v>3</v>
      </c>
      <c r="M46" s="66">
        <f>IF(Valor_normalizado!M46=0,32,IFERROR(RANK(Valor_normalizado!M46,Valor_normalizado!M$34:M$65,0),"NA"))</f>
        <v>2</v>
      </c>
      <c r="N46" s="66">
        <f>IF(Valor_normalizado!N46=0,32,IFERROR(RANK(Valor_normalizado!N46,Valor_normalizado!N$34:N$65,0),"NA"))</f>
        <v>2</v>
      </c>
      <c r="O46" s="66">
        <f>IF(Valor_normalizado!O46=0,32,IFERROR(RANK(Valor_normalizado!O46,Valor_normalizado!O$34:O$65,0),"NA"))</f>
        <v>2</v>
      </c>
      <c r="P46" s="66">
        <f>IF(Valor_normalizado!P46=0,32,IFERROR(RANK(Valor_normalizado!P46,Valor_normalizado!P$34:P$65,0),"NA"))</f>
        <v>20</v>
      </c>
      <c r="Q46" s="66">
        <f>IF(Valor_normalizado!Q46=0,32,IFERROR(RANK(Valor_normalizado!Q46,Valor_normalizado!Q$34:Q$65,0),"NA"))</f>
        <v>13</v>
      </c>
      <c r="R46" s="66">
        <f>IF(Valor_normalizado!R46=0,32,IFERROR(RANK(Valor_normalizado!R46,Valor_normalizado!R$34:R$65,0),"NA"))</f>
        <v>2</v>
      </c>
      <c r="S46" s="66">
        <f>IF(Valor_normalizado!S46=0,32,IFERROR(RANK(Valor_normalizado!S46,Valor_normalizado!S$34:S$65,0),"NA"))</f>
        <v>2</v>
      </c>
      <c r="T46" s="66">
        <f>IF(Valor_normalizado!T46=0,32,IFERROR(RANK(Valor_normalizado!T46,Valor_normalizado!T$34:T$65,0),"NA"))</f>
        <v>2</v>
      </c>
      <c r="U46" s="66">
        <f>IF(Valor_normalizado!U46=0,32,IFERROR(RANK(Valor_normalizado!U46,Valor_normalizado!U$34:U$65,0),"NA"))</f>
        <v>9</v>
      </c>
      <c r="V46" s="66">
        <f>IF(Valor_normalizado!V46=0,32,IFERROR(RANK(Valor_normalizado!V46,Valor_normalizado!V$34:V$65,0),"NA"))</f>
        <v>5</v>
      </c>
      <c r="W46" s="66">
        <f>IF(Valor_normalizado!W46=0,32,IFERROR(RANK(Valor_normalizado!W46,Valor_normalizado!W$34:W$65,0),"NA"))</f>
        <v>4</v>
      </c>
      <c r="X46" s="66">
        <f>IF(Valor_normalizado!X46=0,32,IFERROR(RANK(Valor_normalizado!X46,Valor_normalizado!X$34:X$65,0),"NA"))</f>
        <v>3</v>
      </c>
      <c r="Y46" s="66">
        <f>IF(Valor_normalizado!Y46=0,32,IFERROR(RANK(Valor_normalizado!Y46,Valor_normalizado!Y$34:Y$65,0),"NA"))</f>
        <v>7</v>
      </c>
    </row>
    <row r="47" ht="14.25" customHeight="1">
      <c r="A47" s="51" t="s">
        <v>307</v>
      </c>
      <c r="B47" s="23">
        <v>2020.0</v>
      </c>
      <c r="C47" s="66">
        <f>IF(Valor_normalizado!C47=0,32,IFERROR(RANK(Valor_normalizado!C47,Valor_normalizado!C$34:C$65,0),"NA"))</f>
        <v>4</v>
      </c>
      <c r="D47" s="66">
        <f>IF(Valor_normalizado!D47=0,32,IFERROR(RANK(Valor_normalizado!D47,Valor_normalizado!D$34:D$65,0),"NA"))</f>
        <v>10</v>
      </c>
      <c r="E47" s="66">
        <f>IF(Valor_normalizado!E47=0,32,IFERROR(RANK(Valor_normalizado!E47,Valor_normalizado!E$34:E$65,0),"NA"))</f>
        <v>5</v>
      </c>
      <c r="F47" s="66">
        <f>IF(Valor_normalizado!F47=0,32,IFERROR(RANK(Valor_normalizado!F47,Valor_normalizado!F$34:F$65,0),"NA"))</f>
        <v>8</v>
      </c>
      <c r="G47" s="66">
        <f>IF(Valor_normalizado!G47=0,32,IFERROR(RANK(Valor_normalizado!G47,Valor_normalizado!G$34:G$65,0),"NA"))</f>
        <v>4</v>
      </c>
      <c r="H47" s="66">
        <f>IF(Valor_normalizado!H47=0,32,IFERROR(RANK(Valor_normalizado!H47,Valor_normalizado!H$34:H$65,0),"NA"))</f>
        <v>9</v>
      </c>
      <c r="I47" s="66">
        <f>IF(Valor_normalizado!I47=0,32,IFERROR(RANK(Valor_normalizado!I47,Valor_normalizado!I$34:I$65,0),"NA"))</f>
        <v>9</v>
      </c>
      <c r="J47" s="66">
        <f>IF(Valor_normalizado!J47=0,32,IFERROR(RANK(Valor_normalizado!J47,Valor_normalizado!J$34:J$65,0),"NA"))</f>
        <v>5</v>
      </c>
      <c r="K47" s="66">
        <f>IF(Valor_normalizado!K47=0,32,IFERROR(RANK(Valor_normalizado!K47,Valor_normalizado!K$34:K$65,0),"NA"))</f>
        <v>7</v>
      </c>
      <c r="L47" s="66">
        <f>IF(Valor_normalizado!L47=0,32,IFERROR(RANK(Valor_normalizado!L47,Valor_normalizado!L$34:L$65,0),"NA"))</f>
        <v>7</v>
      </c>
      <c r="M47" s="66">
        <f>IF(Valor_normalizado!M47=0,32,IFERROR(RANK(Valor_normalizado!M47,Valor_normalizado!M$34:M$65,0),"NA"))</f>
        <v>3</v>
      </c>
      <c r="N47" s="66">
        <f>IF(Valor_normalizado!N47=0,32,IFERROR(RANK(Valor_normalizado!N47,Valor_normalizado!N$34:N$65,0),"NA"))</f>
        <v>5</v>
      </c>
      <c r="O47" s="66">
        <f>IF(Valor_normalizado!O47=0,32,IFERROR(RANK(Valor_normalizado!O47,Valor_normalizado!O$34:O$65,0),"NA"))</f>
        <v>3</v>
      </c>
      <c r="P47" s="66">
        <f>IF(Valor_normalizado!P47=0,32,IFERROR(RANK(Valor_normalizado!P47,Valor_normalizado!P$34:P$65,0),"NA"))</f>
        <v>16</v>
      </c>
      <c r="Q47" s="66">
        <f>IF(Valor_normalizado!Q47=0,32,IFERROR(RANK(Valor_normalizado!Q47,Valor_normalizado!Q$34:Q$65,0),"NA"))</f>
        <v>16</v>
      </c>
      <c r="R47" s="66">
        <f>IF(Valor_normalizado!R47=0,32,IFERROR(RANK(Valor_normalizado!R47,Valor_normalizado!R$34:R$65,0),"NA"))</f>
        <v>6</v>
      </c>
      <c r="S47" s="66">
        <f>IF(Valor_normalizado!S47=0,32,IFERROR(RANK(Valor_normalizado!S47,Valor_normalizado!S$34:S$65,0),"NA"))</f>
        <v>3</v>
      </c>
      <c r="T47" s="66">
        <f>IF(Valor_normalizado!T47=0,32,IFERROR(RANK(Valor_normalizado!T47,Valor_normalizado!T$34:T$65,0),"NA"))</f>
        <v>5</v>
      </c>
      <c r="U47" s="66">
        <f>IF(Valor_normalizado!U47=0,32,IFERROR(RANK(Valor_normalizado!U47,Valor_normalizado!U$34:U$65,0),"NA"))</f>
        <v>1</v>
      </c>
      <c r="V47" s="66">
        <f>IF(Valor_normalizado!V47=0,32,IFERROR(RANK(Valor_normalizado!V47,Valor_normalizado!V$34:V$65,0),"NA"))</f>
        <v>2</v>
      </c>
      <c r="W47" s="66">
        <f>IF(Valor_normalizado!W47=0,32,IFERROR(RANK(Valor_normalizado!W47,Valor_normalizado!W$34:W$65,0),"NA"))</f>
        <v>1</v>
      </c>
      <c r="X47" s="66">
        <f>IF(Valor_normalizado!X47=0,32,IFERROR(RANK(Valor_normalizado!X47,Valor_normalizado!X$34:X$65,0),"NA"))</f>
        <v>2</v>
      </c>
      <c r="Y47" s="66">
        <f>IF(Valor_normalizado!Y47=0,32,IFERROR(RANK(Valor_normalizado!Y47,Valor_normalizado!Y$34:Y$65,0),"NA"))</f>
        <v>2</v>
      </c>
    </row>
    <row r="48" ht="14.25" customHeight="1">
      <c r="A48" s="49" t="s">
        <v>336</v>
      </c>
      <c r="B48" s="23">
        <v>2020.0</v>
      </c>
      <c r="C48" s="66">
        <f>IF(Valor_normalizado!C48=0,32,IFERROR(RANK(Valor_normalizado!C48,Valor_normalizado!C$34:C$65,0),"NA"))</f>
        <v>32</v>
      </c>
      <c r="D48" s="66">
        <f>IF(Valor_normalizado!D48=0,32,IFERROR(RANK(Valor_normalizado!D48,Valor_normalizado!D$34:D$65,0),"NA"))</f>
        <v>28</v>
      </c>
      <c r="E48" s="66">
        <f>IF(Valor_normalizado!E48=0,32,IFERROR(RANK(Valor_normalizado!E48,Valor_normalizado!E$34:E$65,0),"NA"))</f>
        <v>24</v>
      </c>
      <c r="F48" s="66">
        <f>IF(Valor_normalizado!F48=0,32,IFERROR(RANK(Valor_normalizado!F48,Valor_normalizado!F$34:F$65,0),"NA"))</f>
        <v>32</v>
      </c>
      <c r="G48" s="66">
        <f>IF(Valor_normalizado!G48=0,32,IFERROR(RANK(Valor_normalizado!G48,Valor_normalizado!G$34:G$65,0),"NA"))</f>
        <v>31</v>
      </c>
      <c r="H48" s="66">
        <f>IF(Valor_normalizado!H48=0,32,IFERROR(RANK(Valor_normalizado!H48,Valor_normalizado!H$34:H$65,0),"NA"))</f>
        <v>32</v>
      </c>
      <c r="I48" s="66">
        <f>IF(Valor_normalizado!I48=0,32,IFERROR(RANK(Valor_normalizado!I48,Valor_normalizado!I$34:I$65,0),"NA"))</f>
        <v>32</v>
      </c>
      <c r="J48" s="66">
        <f>IF(Valor_normalizado!J48=0,32,IFERROR(RANK(Valor_normalizado!J48,Valor_normalizado!J$34:J$65,0),"NA"))</f>
        <v>32</v>
      </c>
      <c r="K48" s="66">
        <f>IF(Valor_normalizado!K48=0,32,IFERROR(RANK(Valor_normalizado!K48,Valor_normalizado!K$34:K$65,0),"NA"))</f>
        <v>32</v>
      </c>
      <c r="L48" s="66">
        <f>IF(Valor_normalizado!L48=0,32,IFERROR(RANK(Valor_normalizado!L48,Valor_normalizado!L$34:L$65,0),"NA"))</f>
        <v>32</v>
      </c>
      <c r="M48" s="66">
        <f>IF(Valor_normalizado!M48=0,32,IFERROR(RANK(Valor_normalizado!M48,Valor_normalizado!M$34:M$65,0),"NA"))</f>
        <v>32</v>
      </c>
      <c r="N48" s="66">
        <f>IF(Valor_normalizado!N48=0,32,IFERROR(RANK(Valor_normalizado!N48,Valor_normalizado!N$34:N$65,0),"NA"))</f>
        <v>32</v>
      </c>
      <c r="O48" s="66">
        <f>IF(Valor_normalizado!O48=0,32,IFERROR(RANK(Valor_normalizado!O48,Valor_normalizado!O$34:O$65,0),"NA"))</f>
        <v>32</v>
      </c>
      <c r="P48" s="66">
        <f>IF(Valor_normalizado!P48=0,32,IFERROR(RANK(Valor_normalizado!P48,Valor_normalizado!P$34:P$65,0),"NA"))</f>
        <v>32</v>
      </c>
      <c r="Q48" s="66">
        <f>IF(Valor_normalizado!Q48=0,32,IFERROR(RANK(Valor_normalizado!Q48,Valor_normalizado!Q$34:Q$65,0),"NA"))</f>
        <v>32</v>
      </c>
      <c r="R48" s="66">
        <f>IF(Valor_normalizado!R48=0,32,IFERROR(RANK(Valor_normalizado!R48,Valor_normalizado!R$34:R$65,0),"NA"))</f>
        <v>32</v>
      </c>
      <c r="S48" s="66">
        <f>IF(Valor_normalizado!S48=0,32,IFERROR(RANK(Valor_normalizado!S48,Valor_normalizado!S$34:S$65,0),"NA"))</f>
        <v>32</v>
      </c>
      <c r="T48" s="66">
        <f>IF(Valor_normalizado!T48=0,32,IFERROR(RANK(Valor_normalizado!T48,Valor_normalizado!T$34:T$65,0),"NA"))</f>
        <v>32</v>
      </c>
      <c r="U48" s="66">
        <f>IF(Valor_normalizado!U48=0,32,IFERROR(RANK(Valor_normalizado!U48,Valor_normalizado!U$34:U$65,0),"NA"))</f>
        <v>32</v>
      </c>
      <c r="V48" s="66">
        <f>IF(Valor_normalizado!V48=0,32,IFERROR(RANK(Valor_normalizado!V48,Valor_normalizado!V$34:V$65,0),"NA"))</f>
        <v>32</v>
      </c>
      <c r="W48" s="66">
        <f>IF(Valor_normalizado!W48=0,32,IFERROR(RANK(Valor_normalizado!W48,Valor_normalizado!W$34:W$65,0),"NA"))</f>
        <v>32</v>
      </c>
      <c r="X48" s="66">
        <f>IF(Valor_normalizado!X48=0,32,IFERROR(RANK(Valor_normalizado!X48,Valor_normalizado!X$34:X$65,0),"NA"))</f>
        <v>32</v>
      </c>
      <c r="Y48" s="66">
        <f>IF(Valor_normalizado!Y48=0,32,IFERROR(RANK(Valor_normalizado!Y48,Valor_normalizado!Y$34:Y$65,0),"NA"))</f>
        <v>30</v>
      </c>
    </row>
    <row r="49" ht="14.25" customHeight="1">
      <c r="A49" s="51" t="s">
        <v>331</v>
      </c>
      <c r="B49" s="23">
        <v>2020.0</v>
      </c>
      <c r="C49" s="66">
        <f>IF(Valor_normalizado!C49=0,32,IFERROR(RANK(Valor_normalizado!C49,Valor_normalizado!C$34:C$65,0),"NA"))</f>
        <v>27</v>
      </c>
      <c r="D49" s="66">
        <f>IF(Valor_normalizado!D49=0,32,IFERROR(RANK(Valor_normalizado!D49,Valor_normalizado!D$34:D$65,0),"NA"))</f>
        <v>27</v>
      </c>
      <c r="E49" s="66">
        <f>IF(Valor_normalizado!E49=0,32,IFERROR(RANK(Valor_normalizado!E49,Valor_normalizado!E$34:E$65,0),"NA"))</f>
        <v>21</v>
      </c>
      <c r="F49" s="66">
        <f>IF(Valor_normalizado!F49=0,32,IFERROR(RANK(Valor_normalizado!F49,Valor_normalizado!F$34:F$65,0),"NA"))</f>
        <v>27</v>
      </c>
      <c r="G49" s="66">
        <f>IF(Valor_normalizado!G49=0,32,IFERROR(RANK(Valor_normalizado!G49,Valor_normalizado!G$34:G$65,0),"NA"))</f>
        <v>28</v>
      </c>
      <c r="H49" s="66">
        <f>IF(Valor_normalizado!H49=0,32,IFERROR(RANK(Valor_normalizado!H49,Valor_normalizado!H$34:H$65,0),"NA"))</f>
        <v>27</v>
      </c>
      <c r="I49" s="66">
        <f>IF(Valor_normalizado!I49=0,32,IFERROR(RANK(Valor_normalizado!I49,Valor_normalizado!I$34:I$65,0),"NA"))</f>
        <v>18</v>
      </c>
      <c r="J49" s="66">
        <f>IF(Valor_normalizado!J49=0,32,IFERROR(RANK(Valor_normalizado!J49,Valor_normalizado!J$34:J$65,0),"NA"))</f>
        <v>30</v>
      </c>
      <c r="K49" s="66">
        <f>IF(Valor_normalizado!K49=0,32,IFERROR(RANK(Valor_normalizado!K49,Valor_normalizado!K$34:K$65,0),"NA"))</f>
        <v>28</v>
      </c>
      <c r="L49" s="66">
        <f>IF(Valor_normalizado!L49=0,32,IFERROR(RANK(Valor_normalizado!L49,Valor_normalizado!L$34:L$65,0),"NA"))</f>
        <v>27</v>
      </c>
      <c r="M49" s="66">
        <f>IF(Valor_normalizado!M49=0,32,IFERROR(RANK(Valor_normalizado!M49,Valor_normalizado!M$34:M$65,0),"NA"))</f>
        <v>32</v>
      </c>
      <c r="N49" s="66">
        <f>IF(Valor_normalizado!N49=0,32,IFERROR(RANK(Valor_normalizado!N49,Valor_normalizado!N$34:N$65,0),"NA"))</f>
        <v>32</v>
      </c>
      <c r="O49" s="66">
        <f>IF(Valor_normalizado!O49=0,32,IFERROR(RANK(Valor_normalizado!O49,Valor_normalizado!O$34:O$65,0),"NA"))</f>
        <v>32</v>
      </c>
      <c r="P49" s="66">
        <f>IF(Valor_normalizado!P49=0,32,IFERROR(RANK(Valor_normalizado!P49,Valor_normalizado!P$34:P$65,0),"NA"))</f>
        <v>32</v>
      </c>
      <c r="Q49" s="66">
        <f>IF(Valor_normalizado!Q49=0,32,IFERROR(RANK(Valor_normalizado!Q49,Valor_normalizado!Q$34:Q$65,0),"NA"))</f>
        <v>32</v>
      </c>
      <c r="R49" s="66">
        <f>IF(Valor_normalizado!R49=0,32,IFERROR(RANK(Valor_normalizado!R49,Valor_normalizado!R$34:R$65,0),"NA"))</f>
        <v>32</v>
      </c>
      <c r="S49" s="66">
        <f>IF(Valor_normalizado!S49=0,32,IFERROR(RANK(Valor_normalizado!S49,Valor_normalizado!S$34:S$65,0),"NA"))</f>
        <v>32</v>
      </c>
      <c r="T49" s="66">
        <f>IF(Valor_normalizado!T49=0,32,IFERROR(RANK(Valor_normalizado!T49,Valor_normalizado!T$34:T$65,0),"NA"))</f>
        <v>32</v>
      </c>
      <c r="U49" s="66">
        <f>IF(Valor_normalizado!U49=0,32,IFERROR(RANK(Valor_normalizado!U49,Valor_normalizado!U$34:U$65,0),"NA"))</f>
        <v>32</v>
      </c>
      <c r="V49" s="66">
        <f>IF(Valor_normalizado!V49=0,32,IFERROR(RANK(Valor_normalizado!V49,Valor_normalizado!V$34:V$65,0),"NA"))</f>
        <v>25</v>
      </c>
      <c r="W49" s="66">
        <f>IF(Valor_normalizado!W49=0,32,IFERROR(RANK(Valor_normalizado!W49,Valor_normalizado!W$34:W$65,0),"NA"))</f>
        <v>27</v>
      </c>
      <c r="X49" s="66">
        <f>IF(Valor_normalizado!X49=0,32,IFERROR(RANK(Valor_normalizado!X49,Valor_normalizado!X$34:X$65,0),"NA"))</f>
        <v>29</v>
      </c>
      <c r="Y49" s="66">
        <f>IF(Valor_normalizado!Y49=0,32,IFERROR(RANK(Valor_normalizado!Y49,Valor_normalizado!Y$34:Y$65,0),"NA"))</f>
        <v>24</v>
      </c>
    </row>
    <row r="50" ht="14.25" customHeight="1">
      <c r="A50" s="49" t="s">
        <v>328</v>
      </c>
      <c r="B50" s="23">
        <v>2020.0</v>
      </c>
      <c r="C50" s="66">
        <f>IF(Valor_normalizado!C50=0,32,IFERROR(RANK(Valor_normalizado!C50,Valor_normalizado!C$34:C$65,0),"NA"))</f>
        <v>23</v>
      </c>
      <c r="D50" s="66">
        <f>IF(Valor_normalizado!D50=0,32,IFERROR(RANK(Valor_normalizado!D50,Valor_normalizado!D$34:D$65,0),"NA"))</f>
        <v>12</v>
      </c>
      <c r="E50" s="66">
        <f>IF(Valor_normalizado!E50=0,32,IFERROR(RANK(Valor_normalizado!E50,Valor_normalizado!E$34:E$65,0),"NA"))</f>
        <v>25</v>
      </c>
      <c r="F50" s="66">
        <f>IF(Valor_normalizado!F50=0,32,IFERROR(RANK(Valor_normalizado!F50,Valor_normalizado!F$34:F$65,0),"NA"))</f>
        <v>25</v>
      </c>
      <c r="G50" s="66">
        <f>IF(Valor_normalizado!G50=0,32,IFERROR(RANK(Valor_normalizado!G50,Valor_normalizado!G$34:G$65,0),"NA"))</f>
        <v>23</v>
      </c>
      <c r="H50" s="66">
        <f>IF(Valor_normalizado!H50=0,32,IFERROR(RANK(Valor_normalizado!H50,Valor_normalizado!H$34:H$65,0),"NA"))</f>
        <v>15</v>
      </c>
      <c r="I50" s="66">
        <f>IF(Valor_normalizado!I50=0,32,IFERROR(RANK(Valor_normalizado!I50,Valor_normalizado!I$34:I$65,0),"NA"))</f>
        <v>15</v>
      </c>
      <c r="J50" s="66">
        <f>IF(Valor_normalizado!J50=0,32,IFERROR(RANK(Valor_normalizado!J50,Valor_normalizado!J$34:J$65,0),"NA"))</f>
        <v>16</v>
      </c>
      <c r="K50" s="66">
        <f>IF(Valor_normalizado!K50=0,32,IFERROR(RANK(Valor_normalizado!K50,Valor_normalizado!K$34:K$65,0),"NA"))</f>
        <v>15</v>
      </c>
      <c r="L50" s="66">
        <f>IF(Valor_normalizado!L50=0,32,IFERROR(RANK(Valor_normalizado!L50,Valor_normalizado!L$34:L$65,0),"NA"))</f>
        <v>21</v>
      </c>
      <c r="M50" s="66">
        <f>IF(Valor_normalizado!M50=0,32,IFERROR(RANK(Valor_normalizado!M50,Valor_normalizado!M$34:M$65,0),"NA"))</f>
        <v>14</v>
      </c>
      <c r="N50" s="66">
        <f>IF(Valor_normalizado!N50=0,32,IFERROR(RANK(Valor_normalizado!N50,Valor_normalizado!N$34:N$65,0),"NA"))</f>
        <v>14</v>
      </c>
      <c r="O50" s="66">
        <f>IF(Valor_normalizado!O50=0,32,IFERROR(RANK(Valor_normalizado!O50,Valor_normalizado!O$34:O$65,0),"NA"))</f>
        <v>14</v>
      </c>
      <c r="P50" s="66">
        <f>IF(Valor_normalizado!P50=0,32,IFERROR(RANK(Valor_normalizado!P50,Valor_normalizado!P$34:P$65,0),"NA"))</f>
        <v>8</v>
      </c>
      <c r="Q50" s="66">
        <f>IF(Valor_normalizado!Q50=0,32,IFERROR(RANK(Valor_normalizado!Q50,Valor_normalizado!Q$34:Q$65,0),"NA"))</f>
        <v>7</v>
      </c>
      <c r="R50" s="66">
        <f>IF(Valor_normalizado!R50=0,32,IFERROR(RANK(Valor_normalizado!R50,Valor_normalizado!R$34:R$65,0),"NA"))</f>
        <v>12</v>
      </c>
      <c r="S50" s="66">
        <f>IF(Valor_normalizado!S50=0,32,IFERROR(RANK(Valor_normalizado!S50,Valor_normalizado!S$34:S$65,0),"NA"))</f>
        <v>20</v>
      </c>
      <c r="T50" s="66">
        <f>IF(Valor_normalizado!T50=0,32,IFERROR(RANK(Valor_normalizado!T50,Valor_normalizado!T$34:T$65,0),"NA"))</f>
        <v>32</v>
      </c>
      <c r="U50" s="66">
        <f>IF(Valor_normalizado!U50=0,32,IFERROR(RANK(Valor_normalizado!U50,Valor_normalizado!U$34:U$65,0),"NA"))</f>
        <v>32</v>
      </c>
      <c r="V50" s="66">
        <f>IF(Valor_normalizado!V50=0,32,IFERROR(RANK(Valor_normalizado!V50,Valor_normalizado!V$34:V$65,0),"NA"))</f>
        <v>21</v>
      </c>
      <c r="W50" s="66">
        <f>IF(Valor_normalizado!W50=0,32,IFERROR(RANK(Valor_normalizado!W50,Valor_normalizado!W$34:W$65,0),"NA"))</f>
        <v>22</v>
      </c>
      <c r="X50" s="66">
        <f>IF(Valor_normalizado!X50=0,32,IFERROR(RANK(Valor_normalizado!X50,Valor_normalizado!X$34:X$65,0),"NA"))</f>
        <v>17</v>
      </c>
      <c r="Y50" s="66">
        <f>IF(Valor_normalizado!Y50=0,32,IFERROR(RANK(Valor_normalizado!Y50,Valor_normalizado!Y$34:Y$65,0),"NA"))</f>
        <v>18</v>
      </c>
    </row>
    <row r="51" ht="14.25" customHeight="1">
      <c r="A51" s="51" t="s">
        <v>312</v>
      </c>
      <c r="B51" s="23">
        <v>2020.0</v>
      </c>
      <c r="C51" s="66">
        <f>IF(Valor_normalizado!C51=0,32,IFERROR(RANK(Valor_normalizado!C51,Valor_normalizado!C$34:C$65,0),"NA"))</f>
        <v>7</v>
      </c>
      <c r="D51" s="66">
        <f>IF(Valor_normalizado!D51=0,32,IFERROR(RANK(Valor_normalizado!D51,Valor_normalizado!D$34:D$65,0),"NA"))</f>
        <v>19</v>
      </c>
      <c r="E51" s="66">
        <f>IF(Valor_normalizado!E51=0,32,IFERROR(RANK(Valor_normalizado!E51,Valor_normalizado!E$34:E$65,0),"NA"))</f>
        <v>15</v>
      </c>
      <c r="F51" s="66">
        <f>IF(Valor_normalizado!F51=0,32,IFERROR(RANK(Valor_normalizado!F51,Valor_normalizado!F$34:F$65,0),"NA"))</f>
        <v>13</v>
      </c>
      <c r="G51" s="66">
        <f>IF(Valor_normalizado!G51=0,32,IFERROR(RANK(Valor_normalizado!G51,Valor_normalizado!G$34:G$65,0),"NA"))</f>
        <v>12</v>
      </c>
      <c r="H51" s="66">
        <f>IF(Valor_normalizado!H51=0,32,IFERROR(RANK(Valor_normalizado!H51,Valor_normalizado!H$34:H$65,0),"NA"))</f>
        <v>11</v>
      </c>
      <c r="I51" s="66">
        <f>IF(Valor_normalizado!I51=0,32,IFERROR(RANK(Valor_normalizado!I51,Valor_normalizado!I$34:I$65,0),"NA"))</f>
        <v>8</v>
      </c>
      <c r="J51" s="66">
        <f>IF(Valor_normalizado!J51=0,32,IFERROR(RANK(Valor_normalizado!J51,Valor_normalizado!J$34:J$65,0),"NA"))</f>
        <v>23</v>
      </c>
      <c r="K51" s="66">
        <f>IF(Valor_normalizado!K51=0,32,IFERROR(RANK(Valor_normalizado!K51,Valor_normalizado!K$34:K$65,0),"NA"))</f>
        <v>11</v>
      </c>
      <c r="L51" s="66">
        <f>IF(Valor_normalizado!L51=0,32,IFERROR(RANK(Valor_normalizado!L51,Valor_normalizado!L$34:L$65,0),"NA"))</f>
        <v>12</v>
      </c>
      <c r="M51" s="66">
        <f>IF(Valor_normalizado!M51=0,32,IFERROR(RANK(Valor_normalizado!M51,Valor_normalizado!M$34:M$65,0),"NA"))</f>
        <v>16</v>
      </c>
      <c r="N51" s="66">
        <f>IF(Valor_normalizado!N51=0,32,IFERROR(RANK(Valor_normalizado!N51,Valor_normalizado!N$34:N$65,0),"NA"))</f>
        <v>32</v>
      </c>
      <c r="O51" s="66">
        <f>IF(Valor_normalizado!O51=0,32,IFERROR(RANK(Valor_normalizado!O51,Valor_normalizado!O$34:O$65,0),"NA"))</f>
        <v>19</v>
      </c>
      <c r="P51" s="66">
        <f>IF(Valor_normalizado!P51=0,32,IFERROR(RANK(Valor_normalizado!P51,Valor_normalizado!P$34:P$65,0),"NA"))</f>
        <v>6</v>
      </c>
      <c r="Q51" s="66">
        <f>IF(Valor_normalizado!Q51=0,32,IFERROR(RANK(Valor_normalizado!Q51,Valor_normalizado!Q$34:Q$65,0),"NA"))</f>
        <v>21</v>
      </c>
      <c r="R51" s="66">
        <f>IF(Valor_normalizado!R51=0,32,IFERROR(RANK(Valor_normalizado!R51,Valor_normalizado!R$34:R$65,0),"NA"))</f>
        <v>19</v>
      </c>
      <c r="S51" s="66">
        <f>IF(Valor_normalizado!S51=0,32,IFERROR(RANK(Valor_normalizado!S51,Valor_normalizado!S$34:S$65,0),"NA"))</f>
        <v>8</v>
      </c>
      <c r="T51" s="66">
        <f>IF(Valor_normalizado!T51=0,32,IFERROR(RANK(Valor_normalizado!T51,Valor_normalizado!T$34:T$65,0),"NA"))</f>
        <v>32</v>
      </c>
      <c r="U51" s="66">
        <f>IF(Valor_normalizado!U51=0,32,IFERROR(RANK(Valor_normalizado!U51,Valor_normalizado!U$34:U$65,0),"NA"))</f>
        <v>32</v>
      </c>
      <c r="V51" s="66">
        <f>IF(Valor_normalizado!V51=0,32,IFERROR(RANK(Valor_normalizado!V51,Valor_normalizado!V$34:V$65,0),"NA"))</f>
        <v>13</v>
      </c>
      <c r="W51" s="66">
        <f>IF(Valor_normalizado!W51=0,32,IFERROR(RANK(Valor_normalizado!W51,Valor_normalizado!W$34:W$65,0),"NA"))</f>
        <v>13</v>
      </c>
      <c r="X51" s="66">
        <f>IF(Valor_normalizado!X51=0,32,IFERROR(RANK(Valor_normalizado!X51,Valor_normalizado!X$34:X$65,0),"NA"))</f>
        <v>15</v>
      </c>
      <c r="Y51" s="66">
        <f>IF(Valor_normalizado!Y51=0,32,IFERROR(RANK(Valor_normalizado!Y51,Valor_normalizado!Y$34:Y$65,0),"NA"))</f>
        <v>13</v>
      </c>
    </row>
    <row r="52" ht="14.25" customHeight="1">
      <c r="A52" s="49" t="s">
        <v>314</v>
      </c>
      <c r="B52" s="23">
        <v>2020.0</v>
      </c>
      <c r="C52" s="66">
        <f>IF(Valor_normalizado!C52=0,32,IFERROR(RANK(Valor_normalizado!C52,Valor_normalizado!C$34:C$65,0),"NA"))</f>
        <v>10</v>
      </c>
      <c r="D52" s="66">
        <f>IF(Valor_normalizado!D52=0,32,IFERROR(RANK(Valor_normalizado!D52,Valor_normalizado!D$34:D$65,0),"NA"))</f>
        <v>14</v>
      </c>
      <c r="E52" s="66">
        <f>IF(Valor_normalizado!E52=0,32,IFERROR(RANK(Valor_normalizado!E52,Valor_normalizado!E$34:E$65,0),"NA"))</f>
        <v>12</v>
      </c>
      <c r="F52" s="66">
        <f>IF(Valor_normalizado!F52=0,32,IFERROR(RANK(Valor_normalizado!F52,Valor_normalizado!F$34:F$65,0),"NA"))</f>
        <v>17</v>
      </c>
      <c r="G52" s="66">
        <f>IF(Valor_normalizado!G52=0,32,IFERROR(RANK(Valor_normalizado!G52,Valor_normalizado!G$34:G$65,0),"NA"))</f>
        <v>13</v>
      </c>
      <c r="H52" s="66">
        <f>IF(Valor_normalizado!H52=0,32,IFERROR(RANK(Valor_normalizado!H52,Valor_normalizado!H$34:H$65,0),"NA"))</f>
        <v>10</v>
      </c>
      <c r="I52" s="66">
        <f>IF(Valor_normalizado!I52=0,32,IFERROR(RANK(Valor_normalizado!I52,Valor_normalizado!I$34:I$65,0),"NA"))</f>
        <v>11</v>
      </c>
      <c r="J52" s="66">
        <f>IF(Valor_normalizado!J52=0,32,IFERROR(RANK(Valor_normalizado!J52,Valor_normalizado!J$34:J$65,0),"NA"))</f>
        <v>22</v>
      </c>
      <c r="K52" s="66">
        <f>IF(Valor_normalizado!K52=0,32,IFERROR(RANK(Valor_normalizado!K52,Valor_normalizado!K$34:K$65,0),"NA"))</f>
        <v>13</v>
      </c>
      <c r="L52" s="66">
        <f>IF(Valor_normalizado!L52=0,32,IFERROR(RANK(Valor_normalizado!L52,Valor_normalizado!L$34:L$65,0),"NA"))</f>
        <v>13</v>
      </c>
      <c r="M52" s="66">
        <f>IF(Valor_normalizado!M52=0,32,IFERROR(RANK(Valor_normalizado!M52,Valor_normalizado!M$34:M$65,0),"NA"))</f>
        <v>18</v>
      </c>
      <c r="N52" s="66">
        <f>IF(Valor_normalizado!N52=0,32,IFERROR(RANK(Valor_normalizado!N52,Valor_normalizado!N$34:N$65,0),"NA"))</f>
        <v>7</v>
      </c>
      <c r="O52" s="66">
        <f>IF(Valor_normalizado!O52=0,32,IFERROR(RANK(Valor_normalizado!O52,Valor_normalizado!O$34:O$65,0),"NA"))</f>
        <v>8</v>
      </c>
      <c r="P52" s="66">
        <f>IF(Valor_normalizado!P52=0,32,IFERROR(RANK(Valor_normalizado!P52,Valor_normalizado!P$34:P$65,0),"NA"))</f>
        <v>22</v>
      </c>
      <c r="Q52" s="66">
        <f>IF(Valor_normalizado!Q52=0,32,IFERROR(RANK(Valor_normalizado!Q52,Valor_normalizado!Q$34:Q$65,0),"NA"))</f>
        <v>17</v>
      </c>
      <c r="R52" s="66">
        <f>IF(Valor_normalizado!R52=0,32,IFERROR(RANK(Valor_normalizado!R52,Valor_normalizado!R$34:R$65,0),"NA"))</f>
        <v>16</v>
      </c>
      <c r="S52" s="66">
        <f>IF(Valor_normalizado!S52=0,32,IFERROR(RANK(Valor_normalizado!S52,Valor_normalizado!S$34:S$65,0),"NA"))</f>
        <v>32</v>
      </c>
      <c r="T52" s="66">
        <f>IF(Valor_normalizado!T52=0,32,IFERROR(RANK(Valor_normalizado!T52,Valor_normalizado!T$34:T$65,0),"NA"))</f>
        <v>32</v>
      </c>
      <c r="U52" s="66">
        <f>IF(Valor_normalizado!U52=0,32,IFERROR(RANK(Valor_normalizado!U52,Valor_normalizado!U$34:U$65,0),"NA"))</f>
        <v>32</v>
      </c>
      <c r="V52" s="66">
        <f>IF(Valor_normalizado!V52=0,32,IFERROR(RANK(Valor_normalizado!V52,Valor_normalizado!V$34:V$65,0),"NA"))</f>
        <v>17</v>
      </c>
      <c r="W52" s="66">
        <f>IF(Valor_normalizado!W52=0,32,IFERROR(RANK(Valor_normalizado!W52,Valor_normalizado!W$34:W$65,0),"NA"))</f>
        <v>24</v>
      </c>
      <c r="X52" s="66">
        <f>IF(Valor_normalizado!X52=0,32,IFERROR(RANK(Valor_normalizado!X52,Valor_normalizado!X$34:X$65,0),"NA"))</f>
        <v>18</v>
      </c>
      <c r="Y52" s="66">
        <f>IF(Valor_normalizado!Y52=0,32,IFERROR(RANK(Valor_normalizado!Y52,Valor_normalizado!Y$34:Y$65,0),"NA"))</f>
        <v>14</v>
      </c>
    </row>
    <row r="53" ht="14.25" customHeight="1">
      <c r="A53" s="51" t="s">
        <v>309</v>
      </c>
      <c r="B53" s="23">
        <v>2020.0</v>
      </c>
      <c r="C53" s="66">
        <f>IF(Valor_normalizado!C53=0,32,IFERROR(RANK(Valor_normalizado!C53,Valor_normalizado!C$34:C$65,0),"NA"))</f>
        <v>5</v>
      </c>
      <c r="D53" s="66">
        <f>IF(Valor_normalizado!D53=0,32,IFERROR(RANK(Valor_normalizado!D53,Valor_normalizado!D$34:D$65,0),"NA"))</f>
        <v>13</v>
      </c>
      <c r="E53" s="66">
        <f>IF(Valor_normalizado!E53=0,32,IFERROR(RANK(Valor_normalizado!E53,Valor_normalizado!E$34:E$65,0),"NA"))</f>
        <v>2</v>
      </c>
      <c r="F53" s="66">
        <f>IF(Valor_normalizado!F53=0,32,IFERROR(RANK(Valor_normalizado!F53,Valor_normalizado!F$34:F$65,0),"NA"))</f>
        <v>2</v>
      </c>
      <c r="G53" s="66">
        <f>IF(Valor_normalizado!G53=0,32,IFERROR(RANK(Valor_normalizado!G53,Valor_normalizado!G$34:G$65,0),"NA"))</f>
        <v>2</v>
      </c>
      <c r="H53" s="66">
        <f>IF(Valor_normalizado!H53=0,32,IFERROR(RANK(Valor_normalizado!H53,Valor_normalizado!H$34:H$65,0),"NA"))</f>
        <v>3</v>
      </c>
      <c r="I53" s="66">
        <f>IF(Valor_normalizado!I53=0,32,IFERROR(RANK(Valor_normalizado!I53,Valor_normalizado!I$34:I$65,0),"NA"))</f>
        <v>2</v>
      </c>
      <c r="J53" s="66">
        <f>IF(Valor_normalizado!J53=0,32,IFERROR(RANK(Valor_normalizado!J53,Valor_normalizado!J$34:J$65,0),"NA"))</f>
        <v>14</v>
      </c>
      <c r="K53" s="66">
        <f>IF(Valor_normalizado!K53=0,32,IFERROR(RANK(Valor_normalizado!K53,Valor_normalizado!K$34:K$65,0),"NA"))</f>
        <v>5</v>
      </c>
      <c r="L53" s="66">
        <f>IF(Valor_normalizado!L53=0,32,IFERROR(RANK(Valor_normalizado!L53,Valor_normalizado!L$34:L$65,0),"NA"))</f>
        <v>4</v>
      </c>
      <c r="M53" s="66">
        <f>IF(Valor_normalizado!M53=0,32,IFERROR(RANK(Valor_normalizado!M53,Valor_normalizado!M$34:M$65,0),"NA"))</f>
        <v>7</v>
      </c>
      <c r="N53" s="66">
        <f>IF(Valor_normalizado!N53=0,32,IFERROR(RANK(Valor_normalizado!N53,Valor_normalizado!N$34:N$65,0),"NA"))</f>
        <v>13</v>
      </c>
      <c r="O53" s="66">
        <f>IF(Valor_normalizado!O53=0,32,IFERROR(RANK(Valor_normalizado!O53,Valor_normalizado!O$34:O$65,0),"NA"))</f>
        <v>15</v>
      </c>
      <c r="P53" s="66">
        <f>IF(Valor_normalizado!P53=0,32,IFERROR(RANK(Valor_normalizado!P53,Valor_normalizado!P$34:P$65,0),"NA"))</f>
        <v>14</v>
      </c>
      <c r="Q53" s="66">
        <f>IF(Valor_normalizado!Q53=0,32,IFERROR(RANK(Valor_normalizado!Q53,Valor_normalizado!Q$34:Q$65,0),"NA"))</f>
        <v>4</v>
      </c>
      <c r="R53" s="66">
        <f>IF(Valor_normalizado!R53=0,32,IFERROR(RANK(Valor_normalizado!R53,Valor_normalizado!R$34:R$65,0),"NA"))</f>
        <v>11</v>
      </c>
      <c r="S53" s="66">
        <f>IF(Valor_normalizado!S53=0,32,IFERROR(RANK(Valor_normalizado!S53,Valor_normalizado!S$34:S$65,0),"NA"))</f>
        <v>5</v>
      </c>
      <c r="T53" s="66">
        <f>IF(Valor_normalizado!T53=0,32,IFERROR(RANK(Valor_normalizado!T53,Valor_normalizado!T$34:T$65,0),"NA"))</f>
        <v>3</v>
      </c>
      <c r="U53" s="66">
        <f>IF(Valor_normalizado!U53=0,32,IFERROR(RANK(Valor_normalizado!U53,Valor_normalizado!U$34:U$65,0),"NA"))</f>
        <v>4</v>
      </c>
      <c r="V53" s="66">
        <f>IF(Valor_normalizado!V53=0,32,IFERROR(RANK(Valor_normalizado!V53,Valor_normalizado!V$34:V$65,0),"NA"))</f>
        <v>6</v>
      </c>
      <c r="W53" s="66">
        <f>IF(Valor_normalizado!W53=0,32,IFERROR(RANK(Valor_normalizado!W53,Valor_normalizado!W$34:W$65,0),"NA"))</f>
        <v>3</v>
      </c>
      <c r="X53" s="66">
        <f>IF(Valor_normalizado!X53=0,32,IFERROR(RANK(Valor_normalizado!X53,Valor_normalizado!X$34:X$65,0),"NA"))</f>
        <v>5</v>
      </c>
      <c r="Y53" s="66">
        <f>IF(Valor_normalizado!Y53=0,32,IFERROR(RANK(Valor_normalizado!Y53,Valor_normalizado!Y$34:Y$65,0),"NA"))</f>
        <v>6</v>
      </c>
    </row>
    <row r="54" ht="14.25" customHeight="1">
      <c r="A54" s="49" t="s">
        <v>316</v>
      </c>
      <c r="B54" s="23">
        <v>2020.0</v>
      </c>
      <c r="C54" s="66">
        <f>IF(Valor_normalizado!C54=0,32,IFERROR(RANK(Valor_normalizado!C54,Valor_normalizado!C$34:C$65,0),"NA"))</f>
        <v>13</v>
      </c>
      <c r="D54" s="66">
        <f>IF(Valor_normalizado!D54=0,32,IFERROR(RANK(Valor_normalizado!D54,Valor_normalizado!D$34:D$65,0),"NA"))</f>
        <v>15</v>
      </c>
      <c r="E54" s="66">
        <f>IF(Valor_normalizado!E54=0,32,IFERROR(RANK(Valor_normalizado!E54,Valor_normalizado!E$34:E$65,0),"NA"))</f>
        <v>9</v>
      </c>
      <c r="F54" s="66">
        <f>IF(Valor_normalizado!F54=0,32,IFERROR(RANK(Valor_normalizado!F54,Valor_normalizado!F$34:F$65,0),"NA"))</f>
        <v>16</v>
      </c>
      <c r="G54" s="66">
        <f>IF(Valor_normalizado!G54=0,32,IFERROR(RANK(Valor_normalizado!G54,Valor_normalizado!G$34:G$65,0),"NA"))</f>
        <v>14</v>
      </c>
      <c r="H54" s="66">
        <f>IF(Valor_normalizado!H54=0,32,IFERROR(RANK(Valor_normalizado!H54,Valor_normalizado!H$34:H$65,0),"NA"))</f>
        <v>2</v>
      </c>
      <c r="I54" s="66">
        <f>IF(Valor_normalizado!I54=0,32,IFERROR(RANK(Valor_normalizado!I54,Valor_normalizado!I$34:I$65,0),"NA"))</f>
        <v>4</v>
      </c>
      <c r="J54" s="66">
        <f>IF(Valor_normalizado!J54=0,32,IFERROR(RANK(Valor_normalizado!J54,Valor_normalizado!J$34:J$65,0),"NA"))</f>
        <v>12</v>
      </c>
      <c r="K54" s="66">
        <f>IF(Valor_normalizado!K54=0,32,IFERROR(RANK(Valor_normalizado!K54,Valor_normalizado!K$34:K$65,0),"NA"))</f>
        <v>3</v>
      </c>
      <c r="L54" s="66">
        <f>IF(Valor_normalizado!L54=0,32,IFERROR(RANK(Valor_normalizado!L54,Valor_normalizado!L$34:L$65,0),"NA"))</f>
        <v>6</v>
      </c>
      <c r="M54" s="66">
        <f>IF(Valor_normalizado!M54=0,32,IFERROR(RANK(Valor_normalizado!M54,Valor_normalizado!M$34:M$65,0),"NA"))</f>
        <v>6</v>
      </c>
      <c r="N54" s="66">
        <f>IF(Valor_normalizado!N54=0,32,IFERROR(RANK(Valor_normalizado!N54,Valor_normalizado!N$34:N$65,0),"NA"))</f>
        <v>10</v>
      </c>
      <c r="O54" s="66">
        <f>IF(Valor_normalizado!O54=0,32,IFERROR(RANK(Valor_normalizado!O54,Valor_normalizado!O$34:O$65,0),"NA"))</f>
        <v>5</v>
      </c>
      <c r="P54" s="66">
        <f>IF(Valor_normalizado!P54=0,32,IFERROR(RANK(Valor_normalizado!P54,Valor_normalizado!P$34:P$65,0),"NA"))</f>
        <v>1</v>
      </c>
      <c r="Q54" s="66">
        <f>IF(Valor_normalizado!Q54=0,32,IFERROR(RANK(Valor_normalizado!Q54,Valor_normalizado!Q$34:Q$65,0),"NA"))</f>
        <v>15</v>
      </c>
      <c r="R54" s="66">
        <f>IF(Valor_normalizado!R54=0,32,IFERROR(RANK(Valor_normalizado!R54,Valor_normalizado!R$34:R$65,0),"NA"))</f>
        <v>4</v>
      </c>
      <c r="S54" s="66">
        <f>IF(Valor_normalizado!S54=0,32,IFERROR(RANK(Valor_normalizado!S54,Valor_normalizado!S$34:S$65,0),"NA"))</f>
        <v>6</v>
      </c>
      <c r="T54" s="66">
        <f>IF(Valor_normalizado!T54=0,32,IFERROR(RANK(Valor_normalizado!T54,Valor_normalizado!T$34:T$65,0),"NA"))</f>
        <v>32</v>
      </c>
      <c r="U54" s="66">
        <f>IF(Valor_normalizado!U54=0,32,IFERROR(RANK(Valor_normalizado!U54,Valor_normalizado!U$34:U$65,0),"NA"))</f>
        <v>32</v>
      </c>
      <c r="V54" s="66">
        <f>IF(Valor_normalizado!V54=0,32,IFERROR(RANK(Valor_normalizado!V54,Valor_normalizado!V$34:V$65,0),"NA"))</f>
        <v>15</v>
      </c>
      <c r="W54" s="66">
        <f>IF(Valor_normalizado!W54=0,32,IFERROR(RANK(Valor_normalizado!W54,Valor_normalizado!W$34:W$65,0),"NA"))</f>
        <v>12</v>
      </c>
      <c r="X54" s="66">
        <f>IF(Valor_normalizado!X54=0,32,IFERROR(RANK(Valor_normalizado!X54,Valor_normalizado!X$34:X$65,0),"NA"))</f>
        <v>10</v>
      </c>
      <c r="Y54" s="66">
        <f>IF(Valor_normalizado!Y54=0,32,IFERROR(RANK(Valor_normalizado!Y54,Valor_normalizado!Y$34:Y$65,0),"NA"))</f>
        <v>9</v>
      </c>
    </row>
    <row r="55" ht="14.25" customHeight="1">
      <c r="A55" s="51" t="s">
        <v>333</v>
      </c>
      <c r="B55" s="23">
        <v>2020.0</v>
      </c>
      <c r="C55" s="66">
        <f>IF(Valor_normalizado!C55=0,32,IFERROR(RANK(Valor_normalizado!C55,Valor_normalizado!C$34:C$65,0),"NA"))</f>
        <v>28</v>
      </c>
      <c r="D55" s="66">
        <f>IF(Valor_normalizado!D55=0,32,IFERROR(RANK(Valor_normalizado!D55,Valor_normalizado!D$34:D$65,0),"NA"))</f>
        <v>32</v>
      </c>
      <c r="E55" s="66">
        <f>IF(Valor_normalizado!E55=0,32,IFERROR(RANK(Valor_normalizado!E55,Valor_normalizado!E$34:E$65,0),"NA"))</f>
        <v>28</v>
      </c>
      <c r="F55" s="66">
        <f>IF(Valor_normalizado!F55=0,32,IFERROR(RANK(Valor_normalizado!F55,Valor_normalizado!F$34:F$65,0),"NA"))</f>
        <v>29</v>
      </c>
      <c r="G55" s="66">
        <f>IF(Valor_normalizado!G55=0,32,IFERROR(RANK(Valor_normalizado!G55,Valor_normalizado!G$34:G$65,0),"NA"))</f>
        <v>29</v>
      </c>
      <c r="H55" s="66">
        <f>IF(Valor_normalizado!H55=0,32,IFERROR(RANK(Valor_normalizado!H55,Valor_normalizado!H$34:H$65,0),"NA"))</f>
        <v>29</v>
      </c>
      <c r="I55" s="66">
        <f>IF(Valor_normalizado!I55=0,32,IFERROR(RANK(Valor_normalizado!I55,Valor_normalizado!I$34:I$65,0),"NA"))</f>
        <v>28</v>
      </c>
      <c r="J55" s="66">
        <f>IF(Valor_normalizado!J55=0,32,IFERROR(RANK(Valor_normalizado!J55,Valor_normalizado!J$34:J$65,0),"NA"))</f>
        <v>21</v>
      </c>
      <c r="K55" s="66">
        <f>IF(Valor_normalizado!K55=0,32,IFERROR(RANK(Valor_normalizado!K55,Valor_normalizado!K$34:K$65,0),"NA"))</f>
        <v>27</v>
      </c>
      <c r="L55" s="66">
        <f>IF(Valor_normalizado!L55=0,32,IFERROR(RANK(Valor_normalizado!L55,Valor_normalizado!L$34:L$65,0),"NA"))</f>
        <v>30</v>
      </c>
      <c r="M55" s="66">
        <f>IF(Valor_normalizado!M55=0,32,IFERROR(RANK(Valor_normalizado!M55,Valor_normalizado!M$34:M$65,0),"NA"))</f>
        <v>32</v>
      </c>
      <c r="N55" s="66">
        <f>IF(Valor_normalizado!N55=0,32,IFERROR(RANK(Valor_normalizado!N55,Valor_normalizado!N$34:N$65,0),"NA"))</f>
        <v>32</v>
      </c>
      <c r="O55" s="66">
        <f>IF(Valor_normalizado!O55=0,32,IFERROR(RANK(Valor_normalizado!O55,Valor_normalizado!O$34:O$65,0),"NA"))</f>
        <v>28</v>
      </c>
      <c r="P55" s="66">
        <f>IF(Valor_normalizado!P55=0,32,IFERROR(RANK(Valor_normalizado!P55,Valor_normalizado!P$34:P$65,0),"NA"))</f>
        <v>32</v>
      </c>
      <c r="Q55" s="66">
        <f>IF(Valor_normalizado!Q55=0,32,IFERROR(RANK(Valor_normalizado!Q55,Valor_normalizado!Q$34:Q$65,0),"NA"))</f>
        <v>32</v>
      </c>
      <c r="R55" s="66">
        <f>IF(Valor_normalizado!R55=0,32,IFERROR(RANK(Valor_normalizado!R55,Valor_normalizado!R$34:R$65,0),"NA"))</f>
        <v>29</v>
      </c>
      <c r="S55" s="66">
        <f>IF(Valor_normalizado!S55=0,32,IFERROR(RANK(Valor_normalizado!S55,Valor_normalizado!S$34:S$65,0),"NA"))</f>
        <v>32</v>
      </c>
      <c r="T55" s="66">
        <f>IF(Valor_normalizado!T55=0,32,IFERROR(RANK(Valor_normalizado!T55,Valor_normalizado!T$34:T$65,0),"NA"))</f>
        <v>32</v>
      </c>
      <c r="U55" s="66">
        <f>IF(Valor_normalizado!U55=0,32,IFERROR(RANK(Valor_normalizado!U55,Valor_normalizado!U$34:U$65,0),"NA"))</f>
        <v>32</v>
      </c>
      <c r="V55" s="66">
        <f>IF(Valor_normalizado!V55=0,32,IFERROR(RANK(Valor_normalizado!V55,Valor_normalizado!V$34:V$65,0),"NA"))</f>
        <v>32</v>
      </c>
      <c r="W55" s="66">
        <f>IF(Valor_normalizado!W55=0,32,IFERROR(RANK(Valor_normalizado!W55,Valor_normalizado!W$34:W$65,0),"NA"))</f>
        <v>32</v>
      </c>
      <c r="X55" s="66">
        <f>IF(Valor_normalizado!X55=0,32,IFERROR(RANK(Valor_normalizado!X55,Valor_normalizado!X$34:X$65,0),"NA"))</f>
        <v>30</v>
      </c>
      <c r="Y55" s="66">
        <f>IF(Valor_normalizado!Y55=0,32,IFERROR(RANK(Valor_normalizado!Y55,Valor_normalizado!Y$34:Y$65,0),"NA"))</f>
        <v>31</v>
      </c>
    </row>
    <row r="56" ht="14.25" customHeight="1">
      <c r="A56" s="49" t="s">
        <v>325</v>
      </c>
      <c r="B56" s="23">
        <v>2020.0</v>
      </c>
      <c r="C56" s="66">
        <f>IF(Valor_normalizado!C56=0,32,IFERROR(RANK(Valor_normalizado!C56,Valor_normalizado!C$34:C$65,0),"NA"))</f>
        <v>20</v>
      </c>
      <c r="D56" s="66">
        <f>IF(Valor_normalizado!D56=0,32,IFERROR(RANK(Valor_normalizado!D56,Valor_normalizado!D$34:D$65,0),"NA"))</f>
        <v>26</v>
      </c>
      <c r="E56" s="66">
        <f>IF(Valor_normalizado!E56=0,32,IFERROR(RANK(Valor_normalizado!E56,Valor_normalizado!E$34:E$65,0),"NA"))</f>
        <v>27</v>
      </c>
      <c r="F56" s="66">
        <f>IF(Valor_normalizado!F56=0,32,IFERROR(RANK(Valor_normalizado!F56,Valor_normalizado!F$34:F$65,0),"NA"))</f>
        <v>26</v>
      </c>
      <c r="G56" s="66">
        <f>IF(Valor_normalizado!G56=0,32,IFERROR(RANK(Valor_normalizado!G56,Valor_normalizado!G$34:G$65,0),"NA"))</f>
        <v>25</v>
      </c>
      <c r="H56" s="66">
        <f>IF(Valor_normalizado!H56=0,32,IFERROR(RANK(Valor_normalizado!H56,Valor_normalizado!H$34:H$65,0),"NA"))</f>
        <v>19</v>
      </c>
      <c r="I56" s="66">
        <f>IF(Valor_normalizado!I56=0,32,IFERROR(RANK(Valor_normalizado!I56,Valor_normalizado!I$34:I$65,0),"NA"))</f>
        <v>22</v>
      </c>
      <c r="J56" s="66">
        <f>IF(Valor_normalizado!J56=0,32,IFERROR(RANK(Valor_normalizado!J56,Valor_normalizado!J$34:J$65,0),"NA"))</f>
        <v>27</v>
      </c>
      <c r="K56" s="66">
        <f>IF(Valor_normalizado!K56=0,32,IFERROR(RANK(Valor_normalizado!K56,Valor_normalizado!K$34:K$65,0),"NA"))</f>
        <v>25</v>
      </c>
      <c r="L56" s="66">
        <f>IF(Valor_normalizado!L56=0,32,IFERROR(RANK(Valor_normalizado!L56,Valor_normalizado!L$34:L$65,0),"NA"))</f>
        <v>26</v>
      </c>
      <c r="M56" s="66">
        <f>IF(Valor_normalizado!M56=0,32,IFERROR(RANK(Valor_normalizado!M56,Valor_normalizado!M$34:M$65,0),"NA"))</f>
        <v>23</v>
      </c>
      <c r="N56" s="66">
        <f>IF(Valor_normalizado!N56=0,32,IFERROR(RANK(Valor_normalizado!N56,Valor_normalizado!N$34:N$65,0),"NA"))</f>
        <v>32</v>
      </c>
      <c r="O56" s="66">
        <f>IF(Valor_normalizado!O56=0,32,IFERROR(RANK(Valor_normalizado!O56,Valor_normalizado!O$34:O$65,0),"NA"))</f>
        <v>20</v>
      </c>
      <c r="P56" s="66">
        <f>IF(Valor_normalizado!P56=0,32,IFERROR(RANK(Valor_normalizado!P56,Valor_normalizado!P$34:P$65,0),"NA"))</f>
        <v>32</v>
      </c>
      <c r="Q56" s="66">
        <f>IF(Valor_normalizado!Q56=0,32,IFERROR(RANK(Valor_normalizado!Q56,Valor_normalizado!Q$34:Q$65,0),"NA"))</f>
        <v>3</v>
      </c>
      <c r="R56" s="66">
        <f>IF(Valor_normalizado!R56=0,32,IFERROR(RANK(Valor_normalizado!R56,Valor_normalizado!R$34:R$65,0),"NA"))</f>
        <v>24</v>
      </c>
      <c r="S56" s="66">
        <f>IF(Valor_normalizado!S56=0,32,IFERROR(RANK(Valor_normalizado!S56,Valor_normalizado!S$34:S$65,0),"NA"))</f>
        <v>32</v>
      </c>
      <c r="T56" s="66">
        <f>IF(Valor_normalizado!T56=0,32,IFERROR(RANK(Valor_normalizado!T56,Valor_normalizado!T$34:T$65,0),"NA"))</f>
        <v>32</v>
      </c>
      <c r="U56" s="66">
        <f>IF(Valor_normalizado!U56=0,32,IFERROR(RANK(Valor_normalizado!U56,Valor_normalizado!U$34:U$65,0),"NA"))</f>
        <v>32</v>
      </c>
      <c r="V56" s="66">
        <f>IF(Valor_normalizado!V56=0,32,IFERROR(RANK(Valor_normalizado!V56,Valor_normalizado!V$34:V$65,0),"NA"))</f>
        <v>22</v>
      </c>
      <c r="W56" s="66">
        <f>IF(Valor_normalizado!W56=0,32,IFERROR(RANK(Valor_normalizado!W56,Valor_normalizado!W$34:W$65,0),"NA"))</f>
        <v>26</v>
      </c>
      <c r="X56" s="66">
        <f>IF(Valor_normalizado!X56=0,32,IFERROR(RANK(Valor_normalizado!X56,Valor_normalizado!X$34:X$65,0),"NA"))</f>
        <v>25</v>
      </c>
      <c r="Y56" s="66">
        <f>IF(Valor_normalizado!Y56=0,32,IFERROR(RANK(Valor_normalizado!Y56,Valor_normalizado!Y$34:Y$65,0),"NA"))</f>
        <v>26</v>
      </c>
    </row>
    <row r="57" ht="14.25" customHeight="1">
      <c r="A57" s="51" t="s">
        <v>326</v>
      </c>
      <c r="B57" s="23">
        <v>2020.0</v>
      </c>
      <c r="C57" s="66">
        <f>IF(Valor_normalizado!C57=0,32,IFERROR(RANK(Valor_normalizado!C57,Valor_normalizado!C$34:C$65,0),"NA"))</f>
        <v>24</v>
      </c>
      <c r="D57" s="66">
        <f>IF(Valor_normalizado!D57=0,32,IFERROR(RANK(Valor_normalizado!D57,Valor_normalizado!D$34:D$65,0),"NA"))</f>
        <v>22</v>
      </c>
      <c r="E57" s="66">
        <f>IF(Valor_normalizado!E57=0,32,IFERROR(RANK(Valor_normalizado!E57,Valor_normalizado!E$34:E$65,0),"NA"))</f>
        <v>31</v>
      </c>
      <c r="F57" s="66">
        <f>IF(Valor_normalizado!F57=0,32,IFERROR(RANK(Valor_normalizado!F57,Valor_normalizado!F$34:F$65,0),"NA"))</f>
        <v>24</v>
      </c>
      <c r="G57" s="66">
        <f>IF(Valor_normalizado!G57=0,32,IFERROR(RANK(Valor_normalizado!G57,Valor_normalizado!G$34:G$65,0),"NA"))</f>
        <v>26</v>
      </c>
      <c r="H57" s="66">
        <f>IF(Valor_normalizado!H57=0,32,IFERROR(RANK(Valor_normalizado!H57,Valor_normalizado!H$34:H$65,0),"NA"))</f>
        <v>25</v>
      </c>
      <c r="I57" s="66">
        <f>IF(Valor_normalizado!I57=0,32,IFERROR(RANK(Valor_normalizado!I57,Valor_normalizado!I$34:I$65,0),"NA"))</f>
        <v>24</v>
      </c>
      <c r="J57" s="66">
        <f>IF(Valor_normalizado!J57=0,32,IFERROR(RANK(Valor_normalizado!J57,Valor_normalizado!J$34:J$65,0),"NA"))</f>
        <v>13</v>
      </c>
      <c r="K57" s="66">
        <f>IF(Valor_normalizado!K57=0,32,IFERROR(RANK(Valor_normalizado!K57,Valor_normalizado!K$34:K$65,0),"NA"))</f>
        <v>22</v>
      </c>
      <c r="L57" s="66">
        <f>IF(Valor_normalizado!L57=0,32,IFERROR(RANK(Valor_normalizado!L57,Valor_normalizado!L$34:L$65,0),"NA"))</f>
        <v>24</v>
      </c>
      <c r="M57" s="66">
        <f>IF(Valor_normalizado!M57=0,32,IFERROR(RANK(Valor_normalizado!M57,Valor_normalizado!M$34:M$65,0),"NA"))</f>
        <v>11</v>
      </c>
      <c r="N57" s="66">
        <f>IF(Valor_normalizado!N57=0,32,IFERROR(RANK(Valor_normalizado!N57,Valor_normalizado!N$34:N$65,0),"NA"))</f>
        <v>32</v>
      </c>
      <c r="O57" s="66">
        <f>IF(Valor_normalizado!O57=0,32,IFERROR(RANK(Valor_normalizado!O57,Valor_normalizado!O$34:O$65,0),"NA"))</f>
        <v>9</v>
      </c>
      <c r="P57" s="66">
        <f>IF(Valor_normalizado!P57=0,32,IFERROR(RANK(Valor_normalizado!P57,Valor_normalizado!P$34:P$65,0),"NA"))</f>
        <v>3</v>
      </c>
      <c r="Q57" s="66">
        <f>IF(Valor_normalizado!Q57=0,32,IFERROR(RANK(Valor_normalizado!Q57,Valor_normalizado!Q$34:Q$65,0),"NA"))</f>
        <v>23</v>
      </c>
      <c r="R57" s="66">
        <f>IF(Valor_normalizado!R57=0,32,IFERROR(RANK(Valor_normalizado!R57,Valor_normalizado!R$34:R$65,0),"NA"))</f>
        <v>13</v>
      </c>
      <c r="S57" s="66">
        <f>IF(Valor_normalizado!S57=0,32,IFERROR(RANK(Valor_normalizado!S57,Valor_normalizado!S$34:S$65,0),"NA"))</f>
        <v>32</v>
      </c>
      <c r="T57" s="66">
        <f>IF(Valor_normalizado!T57=0,32,IFERROR(RANK(Valor_normalizado!T57,Valor_normalizado!T$34:T$65,0),"NA"))</f>
        <v>6</v>
      </c>
      <c r="U57" s="66">
        <f>IF(Valor_normalizado!U57=0,32,IFERROR(RANK(Valor_normalizado!U57,Valor_normalizado!U$34:U$65,0),"NA"))</f>
        <v>8</v>
      </c>
      <c r="V57" s="66">
        <f>IF(Valor_normalizado!V57=0,32,IFERROR(RANK(Valor_normalizado!V57,Valor_normalizado!V$34:V$65,0),"NA"))</f>
        <v>28</v>
      </c>
      <c r="W57" s="66">
        <f>IF(Valor_normalizado!W57=0,32,IFERROR(RANK(Valor_normalizado!W57,Valor_normalizado!W$34:W$65,0),"NA"))</f>
        <v>14</v>
      </c>
      <c r="X57" s="66">
        <f>IF(Valor_normalizado!X57=0,32,IFERROR(RANK(Valor_normalizado!X57,Valor_normalizado!X$34:X$65,0),"NA"))</f>
        <v>12</v>
      </c>
      <c r="Y57" s="66">
        <f>IF(Valor_normalizado!Y57=0,32,IFERROR(RANK(Valor_normalizado!Y57,Valor_normalizado!Y$34:Y$65,0),"NA"))</f>
        <v>25</v>
      </c>
    </row>
    <row r="58" ht="14.25" customHeight="1">
      <c r="A58" s="49" t="s">
        <v>330</v>
      </c>
      <c r="B58" s="23">
        <v>2020.0</v>
      </c>
      <c r="C58" s="66">
        <f>IF(Valor_normalizado!C58=0,32,IFERROR(RANK(Valor_normalizado!C58,Valor_normalizado!C$34:C$65,0),"NA"))</f>
        <v>26</v>
      </c>
      <c r="D58" s="66">
        <f>IF(Valor_normalizado!D58=0,32,IFERROR(RANK(Valor_normalizado!D58,Valor_normalizado!D$34:D$65,0),"NA"))</f>
        <v>30</v>
      </c>
      <c r="E58" s="66">
        <f>IF(Valor_normalizado!E58=0,32,IFERROR(RANK(Valor_normalizado!E58,Valor_normalizado!E$34:E$65,0),"NA"))</f>
        <v>18</v>
      </c>
      <c r="F58" s="66">
        <f>IF(Valor_normalizado!F58=0,32,IFERROR(RANK(Valor_normalizado!F58,Valor_normalizado!F$34:F$65,0),"NA"))</f>
        <v>9</v>
      </c>
      <c r="G58" s="66">
        <f>IF(Valor_normalizado!G58=0,32,IFERROR(RANK(Valor_normalizado!G58,Valor_normalizado!G$34:G$65,0),"NA"))</f>
        <v>20</v>
      </c>
      <c r="H58" s="66">
        <f>IF(Valor_normalizado!H58=0,32,IFERROR(RANK(Valor_normalizado!H58,Valor_normalizado!H$34:H$65,0),"NA"))</f>
        <v>16</v>
      </c>
      <c r="I58" s="66">
        <f>IF(Valor_normalizado!I58=0,32,IFERROR(RANK(Valor_normalizado!I58,Valor_normalizado!I$34:I$65,0),"NA"))</f>
        <v>30</v>
      </c>
      <c r="J58" s="66">
        <f>IF(Valor_normalizado!J58=0,32,IFERROR(RANK(Valor_normalizado!J58,Valor_normalizado!J$34:J$65,0),"NA"))</f>
        <v>29</v>
      </c>
      <c r="K58" s="66">
        <f>IF(Valor_normalizado!K58=0,32,IFERROR(RANK(Valor_normalizado!K58,Valor_normalizado!K$34:K$65,0),"NA"))</f>
        <v>29</v>
      </c>
      <c r="L58" s="66">
        <f>IF(Valor_normalizado!L58=0,32,IFERROR(RANK(Valor_normalizado!L58,Valor_normalizado!L$34:L$65,0),"NA"))</f>
        <v>25</v>
      </c>
      <c r="M58" s="66">
        <f>IF(Valor_normalizado!M58=0,32,IFERROR(RANK(Valor_normalizado!M58,Valor_normalizado!M$34:M$65,0),"NA"))</f>
        <v>32</v>
      </c>
      <c r="N58" s="66">
        <f>IF(Valor_normalizado!N58=0,32,IFERROR(RANK(Valor_normalizado!N58,Valor_normalizado!N$34:N$65,0),"NA"))</f>
        <v>32</v>
      </c>
      <c r="O58" s="66">
        <f>IF(Valor_normalizado!O58=0,32,IFERROR(RANK(Valor_normalizado!O58,Valor_normalizado!O$34:O$65,0),"NA"))</f>
        <v>25</v>
      </c>
      <c r="P58" s="66">
        <f>IF(Valor_normalizado!P58=0,32,IFERROR(RANK(Valor_normalizado!P58,Valor_normalizado!P$34:P$65,0),"NA"))</f>
        <v>32</v>
      </c>
      <c r="Q58" s="66">
        <f>IF(Valor_normalizado!Q58=0,32,IFERROR(RANK(Valor_normalizado!Q58,Valor_normalizado!Q$34:Q$65,0),"NA"))</f>
        <v>32</v>
      </c>
      <c r="R58" s="66">
        <f>IF(Valor_normalizado!R58=0,32,IFERROR(RANK(Valor_normalizado!R58,Valor_normalizado!R$34:R$65,0),"NA"))</f>
        <v>27</v>
      </c>
      <c r="S58" s="66">
        <f>IF(Valor_normalizado!S58=0,32,IFERROR(RANK(Valor_normalizado!S58,Valor_normalizado!S$34:S$65,0),"NA"))</f>
        <v>11</v>
      </c>
      <c r="T58" s="66">
        <f>IF(Valor_normalizado!T58=0,32,IFERROR(RANK(Valor_normalizado!T58,Valor_normalizado!T$34:T$65,0),"NA"))</f>
        <v>32</v>
      </c>
      <c r="U58" s="66">
        <f>IF(Valor_normalizado!U58=0,32,IFERROR(RANK(Valor_normalizado!U58,Valor_normalizado!U$34:U$65,0),"NA"))</f>
        <v>32</v>
      </c>
      <c r="V58" s="66">
        <f>IF(Valor_normalizado!V58=0,32,IFERROR(RANK(Valor_normalizado!V58,Valor_normalizado!V$34:V$65,0),"NA"))</f>
        <v>4</v>
      </c>
      <c r="W58" s="66">
        <f>IF(Valor_normalizado!W58=0,32,IFERROR(RANK(Valor_normalizado!W58,Valor_normalizado!W$34:W$65,0),"NA"))</f>
        <v>10</v>
      </c>
      <c r="X58" s="66">
        <f>IF(Valor_normalizado!X58=0,32,IFERROR(RANK(Valor_normalizado!X58,Valor_normalizado!X$34:X$65,0),"NA"))</f>
        <v>24</v>
      </c>
      <c r="Y58" s="66">
        <f>IF(Valor_normalizado!Y58=0,32,IFERROR(RANK(Valor_normalizado!Y58,Valor_normalizado!Y$34:Y$65,0),"NA"))</f>
        <v>15</v>
      </c>
    </row>
    <row r="59" ht="14.25" customHeight="1">
      <c r="A59" s="51" t="s">
        <v>332</v>
      </c>
      <c r="B59" s="23">
        <v>2020.0</v>
      </c>
      <c r="C59" s="66">
        <f>IF(Valor_normalizado!C59=0,32,IFERROR(RANK(Valor_normalizado!C59,Valor_normalizado!C$34:C$65,0),"NA"))</f>
        <v>29</v>
      </c>
      <c r="D59" s="66">
        <f>IF(Valor_normalizado!D59=0,32,IFERROR(RANK(Valor_normalizado!D59,Valor_normalizado!D$34:D$65,0),"NA"))</f>
        <v>24</v>
      </c>
      <c r="E59" s="66">
        <f>IF(Valor_normalizado!E59=0,32,IFERROR(RANK(Valor_normalizado!E59,Valor_normalizado!E$34:E$65,0),"NA"))</f>
        <v>17</v>
      </c>
      <c r="F59" s="66">
        <f>IF(Valor_normalizado!F59=0,32,IFERROR(RANK(Valor_normalizado!F59,Valor_normalizado!F$34:F$65,0),"NA"))</f>
        <v>19</v>
      </c>
      <c r="G59" s="66">
        <f>IF(Valor_normalizado!G59=0,32,IFERROR(RANK(Valor_normalizado!G59,Valor_normalizado!G$34:G$65,0),"NA"))</f>
        <v>22</v>
      </c>
      <c r="H59" s="66">
        <f>IF(Valor_normalizado!H59=0,32,IFERROR(RANK(Valor_normalizado!H59,Valor_normalizado!H$34:H$65,0),"NA"))</f>
        <v>12</v>
      </c>
      <c r="I59" s="66">
        <f>IF(Valor_normalizado!I59=0,32,IFERROR(RANK(Valor_normalizado!I59,Valor_normalizado!I$34:I$65,0),"NA"))</f>
        <v>23</v>
      </c>
      <c r="J59" s="66">
        <f>IF(Valor_normalizado!J59=0,32,IFERROR(RANK(Valor_normalizado!J59,Valor_normalizado!J$34:J$65,0),"NA"))</f>
        <v>24</v>
      </c>
      <c r="K59" s="66">
        <f>IF(Valor_normalizado!K59=0,32,IFERROR(RANK(Valor_normalizado!K59,Valor_normalizado!K$34:K$65,0),"NA"))</f>
        <v>23</v>
      </c>
      <c r="L59" s="66">
        <f>IF(Valor_normalizado!L59=0,32,IFERROR(RANK(Valor_normalizado!L59,Valor_normalizado!L$34:L$65,0),"NA"))</f>
        <v>23</v>
      </c>
      <c r="M59" s="66">
        <f>IF(Valor_normalizado!M59=0,32,IFERROR(RANK(Valor_normalizado!M59,Valor_normalizado!M$34:M$65,0),"NA"))</f>
        <v>20</v>
      </c>
      <c r="N59" s="66">
        <f>IF(Valor_normalizado!N59=0,32,IFERROR(RANK(Valor_normalizado!N59,Valor_normalizado!N$34:N$65,0),"NA"))</f>
        <v>32</v>
      </c>
      <c r="O59" s="66">
        <f>IF(Valor_normalizado!O59=0,32,IFERROR(RANK(Valor_normalizado!O59,Valor_normalizado!O$34:O$65,0),"NA"))</f>
        <v>32</v>
      </c>
      <c r="P59" s="66">
        <f>IF(Valor_normalizado!P59=0,32,IFERROR(RANK(Valor_normalizado!P59,Valor_normalizado!P$34:P$65,0),"NA"))</f>
        <v>32</v>
      </c>
      <c r="Q59" s="66">
        <f>IF(Valor_normalizado!Q59=0,32,IFERROR(RANK(Valor_normalizado!Q59,Valor_normalizado!Q$34:Q$65,0),"NA"))</f>
        <v>32</v>
      </c>
      <c r="R59" s="66">
        <f>IF(Valor_normalizado!R59=0,32,IFERROR(RANK(Valor_normalizado!R59,Valor_normalizado!R$34:R$65,0),"NA"))</f>
        <v>25</v>
      </c>
      <c r="S59" s="66">
        <f>IF(Valor_normalizado!S59=0,32,IFERROR(RANK(Valor_normalizado!S59,Valor_normalizado!S$34:S$65,0),"NA"))</f>
        <v>32</v>
      </c>
      <c r="T59" s="66">
        <f>IF(Valor_normalizado!T59=0,32,IFERROR(RANK(Valor_normalizado!T59,Valor_normalizado!T$34:T$65,0),"NA"))</f>
        <v>32</v>
      </c>
      <c r="U59" s="66">
        <f>IF(Valor_normalizado!U59=0,32,IFERROR(RANK(Valor_normalizado!U59,Valor_normalizado!U$34:U$65,0),"NA"))</f>
        <v>32</v>
      </c>
      <c r="V59" s="66">
        <f>IF(Valor_normalizado!V59=0,32,IFERROR(RANK(Valor_normalizado!V59,Valor_normalizado!V$34:V$65,0),"NA"))</f>
        <v>30</v>
      </c>
      <c r="W59" s="66">
        <f>IF(Valor_normalizado!W59=0,32,IFERROR(RANK(Valor_normalizado!W59,Valor_normalizado!W$34:W$65,0),"NA"))</f>
        <v>30</v>
      </c>
      <c r="X59" s="66">
        <f>IF(Valor_normalizado!X59=0,32,IFERROR(RANK(Valor_normalizado!X59,Valor_normalizado!X$34:X$65,0),"NA"))</f>
        <v>27</v>
      </c>
      <c r="Y59" s="66">
        <f>IF(Valor_normalizado!Y59=0,32,IFERROR(RANK(Valor_normalizado!Y59,Valor_normalizado!Y$34:Y$65,0),"NA"))</f>
        <v>29</v>
      </c>
    </row>
    <row r="60" ht="14.25" customHeight="1">
      <c r="A60" s="49" t="s">
        <v>319</v>
      </c>
      <c r="B60" s="23">
        <v>2020.0</v>
      </c>
      <c r="C60" s="66">
        <f>IF(Valor_normalizado!C60=0,32,IFERROR(RANK(Valor_normalizado!C60,Valor_normalizado!C$34:C$65,0),"NA"))</f>
        <v>16</v>
      </c>
      <c r="D60" s="66">
        <f>IF(Valor_normalizado!D60=0,32,IFERROR(RANK(Valor_normalizado!D60,Valor_normalizado!D$34:D$65,0),"NA"))</f>
        <v>7</v>
      </c>
      <c r="E60" s="66">
        <f>IF(Valor_normalizado!E60=0,32,IFERROR(RANK(Valor_normalizado!E60,Valor_normalizado!E$34:E$65,0),"NA"))</f>
        <v>20</v>
      </c>
      <c r="F60" s="66">
        <f>IF(Valor_normalizado!F60=0,32,IFERROR(RANK(Valor_normalizado!F60,Valor_normalizado!F$34:F$65,0),"NA"))</f>
        <v>23</v>
      </c>
      <c r="G60" s="66">
        <f>IF(Valor_normalizado!G60=0,32,IFERROR(RANK(Valor_normalizado!G60,Valor_normalizado!G$34:G$65,0),"NA"))</f>
        <v>19</v>
      </c>
      <c r="H60" s="66">
        <f>IF(Valor_normalizado!H60=0,32,IFERROR(RANK(Valor_normalizado!H60,Valor_normalizado!H$34:H$65,0),"NA"))</f>
        <v>14</v>
      </c>
      <c r="I60" s="66">
        <f>IF(Valor_normalizado!I60=0,32,IFERROR(RANK(Valor_normalizado!I60,Valor_normalizado!I$34:I$65,0),"NA"))</f>
        <v>20</v>
      </c>
      <c r="J60" s="66">
        <f>IF(Valor_normalizado!J60=0,32,IFERROR(RANK(Valor_normalizado!J60,Valor_normalizado!J$34:J$65,0),"NA"))</f>
        <v>9</v>
      </c>
      <c r="K60" s="66">
        <f>IF(Valor_normalizado!K60=0,32,IFERROR(RANK(Valor_normalizado!K60,Valor_normalizado!K$34:K$65,0),"NA"))</f>
        <v>14</v>
      </c>
      <c r="L60" s="66">
        <f>IF(Valor_normalizado!L60=0,32,IFERROR(RANK(Valor_normalizado!L60,Valor_normalizado!L$34:L$65,0),"NA"))</f>
        <v>16</v>
      </c>
      <c r="M60" s="66">
        <f>IF(Valor_normalizado!M60=0,32,IFERROR(RANK(Valor_normalizado!M60,Valor_normalizado!M$34:M$65,0),"NA"))</f>
        <v>12</v>
      </c>
      <c r="N60" s="66">
        <f>IF(Valor_normalizado!N60=0,32,IFERROR(RANK(Valor_normalizado!N60,Valor_normalizado!N$34:N$65,0),"NA"))</f>
        <v>6</v>
      </c>
      <c r="O60" s="66">
        <f>IF(Valor_normalizado!O60=0,32,IFERROR(RANK(Valor_normalizado!O60,Valor_normalizado!O$34:O$65,0),"NA"))</f>
        <v>16</v>
      </c>
      <c r="P60" s="66">
        <f>IF(Valor_normalizado!P60=0,32,IFERROR(RANK(Valor_normalizado!P60,Valor_normalizado!P$34:P$65,0),"NA"))</f>
        <v>10</v>
      </c>
      <c r="Q60" s="66">
        <f>IF(Valor_normalizado!Q60=0,32,IFERROR(RANK(Valor_normalizado!Q60,Valor_normalizado!Q$34:Q$65,0),"NA"))</f>
        <v>6</v>
      </c>
      <c r="R60" s="66">
        <f>IF(Valor_normalizado!R60=0,32,IFERROR(RANK(Valor_normalizado!R60,Valor_normalizado!R$34:R$65,0),"NA"))</f>
        <v>10</v>
      </c>
      <c r="S60" s="66">
        <f>IF(Valor_normalizado!S60=0,32,IFERROR(RANK(Valor_normalizado!S60,Valor_normalizado!S$34:S$65,0),"NA"))</f>
        <v>17</v>
      </c>
      <c r="T60" s="66">
        <f>IF(Valor_normalizado!T60=0,32,IFERROR(RANK(Valor_normalizado!T60,Valor_normalizado!T$34:T$65,0),"NA"))</f>
        <v>13</v>
      </c>
      <c r="U60" s="66">
        <f>IF(Valor_normalizado!U60=0,32,IFERROR(RANK(Valor_normalizado!U60,Valor_normalizado!U$34:U$65,0),"NA"))</f>
        <v>13</v>
      </c>
      <c r="V60" s="66">
        <f>IF(Valor_normalizado!V60=0,32,IFERROR(RANK(Valor_normalizado!V60,Valor_normalizado!V$34:V$65,0),"NA"))</f>
        <v>19</v>
      </c>
      <c r="W60" s="66">
        <f>IF(Valor_normalizado!W60=0,32,IFERROR(RANK(Valor_normalizado!W60,Valor_normalizado!W$34:W$65,0),"NA"))</f>
        <v>18</v>
      </c>
      <c r="X60" s="66">
        <f>IF(Valor_normalizado!X60=0,32,IFERROR(RANK(Valor_normalizado!X60,Valor_normalizado!X$34:X$65,0),"NA"))</f>
        <v>14</v>
      </c>
      <c r="Y60" s="66">
        <f>IF(Valor_normalizado!Y60=0,32,IFERROR(RANK(Valor_normalizado!Y60,Valor_normalizado!Y$34:Y$65,0),"NA"))</f>
        <v>16</v>
      </c>
    </row>
    <row r="61" ht="14.25" customHeight="1">
      <c r="A61" s="51" t="s">
        <v>323</v>
      </c>
      <c r="B61" s="23">
        <v>2020.0</v>
      </c>
      <c r="C61" s="66">
        <f>IF(Valor_normalizado!C61=0,32,IFERROR(RANK(Valor_normalizado!C61,Valor_normalizado!C$34:C$65,0),"NA"))</f>
        <v>21</v>
      </c>
      <c r="D61" s="66">
        <f>IF(Valor_normalizado!D61=0,32,IFERROR(RANK(Valor_normalizado!D61,Valor_normalizado!D$34:D$65,0),"NA"))</f>
        <v>18</v>
      </c>
      <c r="E61" s="66">
        <f>IF(Valor_normalizado!E61=0,32,IFERROR(RANK(Valor_normalizado!E61,Valor_normalizado!E$34:E$65,0),"NA"))</f>
        <v>26</v>
      </c>
      <c r="F61" s="66">
        <f>IF(Valor_normalizado!F61=0,32,IFERROR(RANK(Valor_normalizado!F61,Valor_normalizado!F$34:F$65,0),"NA"))</f>
        <v>28</v>
      </c>
      <c r="G61" s="66">
        <f>IF(Valor_normalizado!G61=0,32,IFERROR(RANK(Valor_normalizado!G61,Valor_normalizado!G$34:G$65,0),"NA"))</f>
        <v>24</v>
      </c>
      <c r="H61" s="66">
        <f>IF(Valor_normalizado!H61=0,32,IFERROR(RANK(Valor_normalizado!H61,Valor_normalizado!H$34:H$65,0),"NA"))</f>
        <v>26</v>
      </c>
      <c r="I61" s="66">
        <f>IF(Valor_normalizado!I61=0,32,IFERROR(RANK(Valor_normalizado!I61,Valor_normalizado!I$34:I$65,0),"NA"))</f>
        <v>13</v>
      </c>
      <c r="J61" s="66">
        <f>IF(Valor_normalizado!J61=0,32,IFERROR(RANK(Valor_normalizado!J61,Valor_normalizado!J$34:J$65,0),"NA"))</f>
        <v>19</v>
      </c>
      <c r="K61" s="66">
        <f>IF(Valor_normalizado!K61=0,32,IFERROR(RANK(Valor_normalizado!K61,Valor_normalizado!K$34:K$65,0),"NA"))</f>
        <v>19</v>
      </c>
      <c r="L61" s="66">
        <f>IF(Valor_normalizado!L61=0,32,IFERROR(RANK(Valor_normalizado!L61,Valor_normalizado!L$34:L$65,0),"NA"))</f>
        <v>22</v>
      </c>
      <c r="M61" s="66">
        <f>IF(Valor_normalizado!M61=0,32,IFERROR(RANK(Valor_normalizado!M61,Valor_normalizado!M$34:M$65,0),"NA"))</f>
        <v>15</v>
      </c>
      <c r="N61" s="66">
        <f>IF(Valor_normalizado!N61=0,32,IFERROR(RANK(Valor_normalizado!N61,Valor_normalizado!N$34:N$65,0),"NA"))</f>
        <v>32</v>
      </c>
      <c r="O61" s="66">
        <f>IF(Valor_normalizado!O61=0,32,IFERROR(RANK(Valor_normalizado!O61,Valor_normalizado!O$34:O$65,0),"NA"))</f>
        <v>10</v>
      </c>
      <c r="P61" s="66">
        <f>IF(Valor_normalizado!P61=0,32,IFERROR(RANK(Valor_normalizado!P61,Valor_normalizado!P$34:P$65,0),"NA"))</f>
        <v>21</v>
      </c>
      <c r="Q61" s="66">
        <f>IF(Valor_normalizado!Q61=0,32,IFERROR(RANK(Valor_normalizado!Q61,Valor_normalizado!Q$34:Q$65,0),"NA"))</f>
        <v>20</v>
      </c>
      <c r="R61" s="66">
        <f>IF(Valor_normalizado!R61=0,32,IFERROR(RANK(Valor_normalizado!R61,Valor_normalizado!R$34:R$65,0),"NA"))</f>
        <v>20</v>
      </c>
      <c r="S61" s="66">
        <f>IF(Valor_normalizado!S61=0,32,IFERROR(RANK(Valor_normalizado!S61,Valor_normalizado!S$34:S$65,0),"NA"))</f>
        <v>18</v>
      </c>
      <c r="T61" s="66">
        <f>IF(Valor_normalizado!T61=0,32,IFERROR(RANK(Valor_normalizado!T61,Valor_normalizado!T$34:T$65,0),"NA"))</f>
        <v>32</v>
      </c>
      <c r="U61" s="66">
        <f>IF(Valor_normalizado!U61=0,32,IFERROR(RANK(Valor_normalizado!U61,Valor_normalizado!U$34:U$65,0),"NA"))</f>
        <v>32</v>
      </c>
      <c r="V61" s="66">
        <f>IF(Valor_normalizado!V61=0,32,IFERROR(RANK(Valor_normalizado!V61,Valor_normalizado!V$34:V$65,0),"NA"))</f>
        <v>24</v>
      </c>
      <c r="W61" s="66">
        <f>IF(Valor_normalizado!W61=0,32,IFERROR(RANK(Valor_normalizado!W61,Valor_normalizado!W$34:W$65,0),"NA"))</f>
        <v>21</v>
      </c>
      <c r="X61" s="66">
        <f>IF(Valor_normalizado!X61=0,32,IFERROR(RANK(Valor_normalizado!X61,Valor_normalizado!X$34:X$65,0),"NA"))</f>
        <v>21</v>
      </c>
      <c r="Y61" s="66">
        <f>IF(Valor_normalizado!Y61=0,32,IFERROR(RANK(Valor_normalizado!Y61,Valor_normalizado!Y$34:Y$65,0),"NA"))</f>
        <v>22</v>
      </c>
    </row>
    <row r="62" ht="14.25" customHeight="1">
      <c r="A62" s="49" t="s">
        <v>308</v>
      </c>
      <c r="B62" s="23">
        <v>2020.0</v>
      </c>
      <c r="C62" s="66">
        <f>IF(Valor_normalizado!C62=0,32,IFERROR(RANK(Valor_normalizado!C62,Valor_normalizado!C$34:C$65,0),"NA"))</f>
        <v>3</v>
      </c>
      <c r="D62" s="66">
        <f>IF(Valor_normalizado!D62=0,32,IFERROR(RANK(Valor_normalizado!D62,Valor_normalizado!D$34:D$65,0),"NA"))</f>
        <v>17</v>
      </c>
      <c r="E62" s="66">
        <f>IF(Valor_normalizado!E62=0,32,IFERROR(RANK(Valor_normalizado!E62,Valor_normalizado!E$34:E$65,0),"NA"))</f>
        <v>7</v>
      </c>
      <c r="F62" s="66">
        <f>IF(Valor_normalizado!F62=0,32,IFERROR(RANK(Valor_normalizado!F62,Valor_normalizado!F$34:F$65,0),"NA"))</f>
        <v>11</v>
      </c>
      <c r="G62" s="66">
        <f>IF(Valor_normalizado!G62=0,32,IFERROR(RANK(Valor_normalizado!G62,Valor_normalizado!G$34:G$65,0),"NA"))</f>
        <v>6</v>
      </c>
      <c r="H62" s="66">
        <f>IF(Valor_normalizado!H62=0,32,IFERROR(RANK(Valor_normalizado!H62,Valor_normalizado!H$34:H$65,0),"NA"))</f>
        <v>1</v>
      </c>
      <c r="I62" s="66">
        <f>IF(Valor_normalizado!I62=0,32,IFERROR(RANK(Valor_normalizado!I62,Valor_normalizado!I$34:I$65,0),"NA"))</f>
        <v>1</v>
      </c>
      <c r="J62" s="66">
        <f>IF(Valor_normalizado!J62=0,32,IFERROR(RANK(Valor_normalizado!J62,Valor_normalizado!J$34:J$65,0),"NA"))</f>
        <v>2</v>
      </c>
      <c r="K62" s="66">
        <f>IF(Valor_normalizado!K62=0,32,IFERROR(RANK(Valor_normalizado!K62,Valor_normalizado!K$34:K$65,0),"NA"))</f>
        <v>1</v>
      </c>
      <c r="L62" s="66">
        <f>IF(Valor_normalizado!L62=0,32,IFERROR(RANK(Valor_normalizado!L62,Valor_normalizado!L$34:L$65,0),"NA"))</f>
        <v>1</v>
      </c>
      <c r="M62" s="66">
        <f>IF(Valor_normalizado!M62=0,32,IFERROR(RANK(Valor_normalizado!M62,Valor_normalizado!M$34:M$65,0),"NA"))</f>
        <v>1</v>
      </c>
      <c r="N62" s="66">
        <f>IF(Valor_normalizado!N62=0,32,IFERROR(RANK(Valor_normalizado!N62,Valor_normalizado!N$34:N$65,0),"NA"))</f>
        <v>1</v>
      </c>
      <c r="O62" s="66">
        <f>IF(Valor_normalizado!O62=0,32,IFERROR(RANK(Valor_normalizado!O62,Valor_normalizado!O$34:O$65,0),"NA"))</f>
        <v>1</v>
      </c>
      <c r="P62" s="66">
        <f>IF(Valor_normalizado!P62=0,32,IFERROR(RANK(Valor_normalizado!P62,Valor_normalizado!P$34:P$65,0),"NA"))</f>
        <v>16</v>
      </c>
      <c r="Q62" s="66">
        <f>IF(Valor_normalizado!Q62=0,32,IFERROR(RANK(Valor_normalizado!Q62,Valor_normalizado!Q$34:Q$65,0),"NA"))</f>
        <v>19</v>
      </c>
      <c r="R62" s="66">
        <f>IF(Valor_normalizado!R62=0,32,IFERROR(RANK(Valor_normalizado!R62,Valor_normalizado!R$34:R$65,0),"NA"))</f>
        <v>1</v>
      </c>
      <c r="S62" s="66">
        <f>IF(Valor_normalizado!S62=0,32,IFERROR(RANK(Valor_normalizado!S62,Valor_normalizado!S$34:S$65,0),"NA"))</f>
        <v>7</v>
      </c>
      <c r="T62" s="66">
        <f>IF(Valor_normalizado!T62=0,32,IFERROR(RANK(Valor_normalizado!T62,Valor_normalizado!T$34:T$65,0),"NA"))</f>
        <v>9</v>
      </c>
      <c r="U62" s="66">
        <f>IF(Valor_normalizado!U62=0,32,IFERROR(RANK(Valor_normalizado!U62,Valor_normalizado!U$34:U$65,0),"NA"))</f>
        <v>12</v>
      </c>
      <c r="V62" s="66">
        <f>IF(Valor_normalizado!V62=0,32,IFERROR(RANK(Valor_normalizado!V62,Valor_normalizado!V$34:V$65,0),"NA"))</f>
        <v>9</v>
      </c>
      <c r="W62" s="66">
        <f>IF(Valor_normalizado!W62=0,32,IFERROR(RANK(Valor_normalizado!W62,Valor_normalizado!W$34:W$65,0),"NA"))</f>
        <v>8</v>
      </c>
      <c r="X62" s="66">
        <f>IF(Valor_normalizado!X62=0,32,IFERROR(RANK(Valor_normalizado!X62,Valor_normalizado!X$34:X$65,0),"NA"))</f>
        <v>4</v>
      </c>
      <c r="Y62" s="66">
        <f>IF(Valor_normalizado!Y62=0,32,IFERROR(RANK(Valor_normalizado!Y62,Valor_normalizado!Y$34:Y$65,0),"NA"))</f>
        <v>3</v>
      </c>
    </row>
    <row r="63" ht="14.25" customHeight="1">
      <c r="A63" s="51" t="s">
        <v>321</v>
      </c>
      <c r="B63" s="23">
        <v>2020.0</v>
      </c>
      <c r="C63" s="66">
        <f>IF(Valor_normalizado!C63=0,32,IFERROR(RANK(Valor_normalizado!C63,Valor_normalizado!C$34:C$65,0),"NA"))</f>
        <v>18</v>
      </c>
      <c r="D63" s="66">
        <f>IF(Valor_normalizado!D63=0,32,IFERROR(RANK(Valor_normalizado!D63,Valor_normalizado!D$34:D$65,0),"NA"))</f>
        <v>11</v>
      </c>
      <c r="E63" s="66">
        <f>IF(Valor_normalizado!E63=0,32,IFERROR(RANK(Valor_normalizado!E63,Valor_normalizado!E$34:E$65,0),"NA"))</f>
        <v>22</v>
      </c>
      <c r="F63" s="66">
        <f>IF(Valor_normalizado!F63=0,32,IFERROR(RANK(Valor_normalizado!F63,Valor_normalizado!F$34:F$65,0),"NA"))</f>
        <v>18</v>
      </c>
      <c r="G63" s="66">
        <f>IF(Valor_normalizado!G63=0,32,IFERROR(RANK(Valor_normalizado!G63,Valor_normalizado!G$34:G$65,0),"NA"))</f>
        <v>17</v>
      </c>
      <c r="H63" s="66">
        <f>IF(Valor_normalizado!H63=0,32,IFERROR(RANK(Valor_normalizado!H63,Valor_normalizado!H$34:H$65,0),"NA"))</f>
        <v>18</v>
      </c>
      <c r="I63" s="66">
        <f>IF(Valor_normalizado!I63=0,32,IFERROR(RANK(Valor_normalizado!I63,Valor_normalizado!I$34:I$65,0),"NA"))</f>
        <v>21</v>
      </c>
      <c r="J63" s="66">
        <f>IF(Valor_normalizado!J63=0,32,IFERROR(RANK(Valor_normalizado!J63,Valor_normalizado!J$34:J$65,0),"NA"))</f>
        <v>18</v>
      </c>
      <c r="K63" s="66">
        <f>IF(Valor_normalizado!K63=0,32,IFERROR(RANK(Valor_normalizado!K63,Valor_normalizado!K$34:K$65,0),"NA"))</f>
        <v>21</v>
      </c>
      <c r="L63" s="66">
        <f>IF(Valor_normalizado!L63=0,32,IFERROR(RANK(Valor_normalizado!L63,Valor_normalizado!L$34:L$65,0),"NA"))</f>
        <v>19</v>
      </c>
      <c r="M63" s="66">
        <f>IF(Valor_normalizado!M63=0,32,IFERROR(RANK(Valor_normalizado!M63,Valor_normalizado!M$34:M$65,0),"NA"))</f>
        <v>22</v>
      </c>
      <c r="N63" s="66">
        <f>IF(Valor_normalizado!N63=0,32,IFERROR(RANK(Valor_normalizado!N63,Valor_normalizado!N$34:N$65,0),"NA"))</f>
        <v>32</v>
      </c>
      <c r="O63" s="66">
        <f>IF(Valor_normalizado!O63=0,32,IFERROR(RANK(Valor_normalizado!O63,Valor_normalizado!O$34:O$65,0),"NA"))</f>
        <v>24</v>
      </c>
      <c r="P63" s="66">
        <f>IF(Valor_normalizado!P63=0,32,IFERROR(RANK(Valor_normalizado!P63,Valor_normalizado!P$34:P$65,0),"NA"))</f>
        <v>14</v>
      </c>
      <c r="Q63" s="66">
        <f>IF(Valor_normalizado!Q63=0,32,IFERROR(RANK(Valor_normalizado!Q63,Valor_normalizado!Q$34:Q$65,0),"NA"))</f>
        <v>2</v>
      </c>
      <c r="R63" s="66">
        <f>IF(Valor_normalizado!R63=0,32,IFERROR(RANK(Valor_normalizado!R63,Valor_normalizado!R$34:R$65,0),"NA"))</f>
        <v>18</v>
      </c>
      <c r="S63" s="66">
        <f>IF(Valor_normalizado!S63=0,32,IFERROR(RANK(Valor_normalizado!S63,Valor_normalizado!S$34:S$65,0),"NA"))</f>
        <v>32</v>
      </c>
      <c r="T63" s="66">
        <f>IF(Valor_normalizado!T63=0,32,IFERROR(RANK(Valor_normalizado!T63,Valor_normalizado!T$34:T$65,0),"NA"))</f>
        <v>32</v>
      </c>
      <c r="U63" s="66">
        <f>IF(Valor_normalizado!U63=0,32,IFERROR(RANK(Valor_normalizado!U63,Valor_normalizado!U$34:U$65,0),"NA"))</f>
        <v>16</v>
      </c>
      <c r="V63" s="66">
        <f>IF(Valor_normalizado!V63=0,32,IFERROR(RANK(Valor_normalizado!V63,Valor_normalizado!V$34:V$65,0),"NA"))</f>
        <v>23</v>
      </c>
      <c r="W63" s="66">
        <f>IF(Valor_normalizado!W63=0,32,IFERROR(RANK(Valor_normalizado!W63,Valor_normalizado!W$34:W$65,0),"NA"))</f>
        <v>25</v>
      </c>
      <c r="X63" s="66">
        <f>IF(Valor_normalizado!X63=0,32,IFERROR(RANK(Valor_normalizado!X63,Valor_normalizado!X$34:X$65,0),"NA"))</f>
        <v>20</v>
      </c>
      <c r="Y63" s="66">
        <f>IF(Valor_normalizado!Y63=0,32,IFERROR(RANK(Valor_normalizado!Y63,Valor_normalizado!Y$34:Y$65,0),"NA"))</f>
        <v>20</v>
      </c>
    </row>
    <row r="64" ht="14.25" customHeight="1">
      <c r="A64" s="49" t="s">
        <v>317</v>
      </c>
      <c r="B64" s="23">
        <v>2020.0</v>
      </c>
      <c r="C64" s="66">
        <f>IF(Valor_normalizado!C64=0,32,IFERROR(RANK(Valor_normalizado!C64,Valor_normalizado!C$34:C$65,0),"NA"))</f>
        <v>12</v>
      </c>
      <c r="D64" s="66">
        <f>IF(Valor_normalizado!D64=0,32,IFERROR(RANK(Valor_normalizado!D64,Valor_normalizado!D$34:D$65,0),"NA"))</f>
        <v>6</v>
      </c>
      <c r="E64" s="66">
        <f>IF(Valor_normalizado!E64=0,32,IFERROR(RANK(Valor_normalizado!E64,Valor_normalizado!E$34:E$65,0),"NA"))</f>
        <v>13</v>
      </c>
      <c r="F64" s="66">
        <f>IF(Valor_normalizado!F64=0,32,IFERROR(RANK(Valor_normalizado!F64,Valor_normalizado!F$34:F$65,0),"NA"))</f>
        <v>4</v>
      </c>
      <c r="G64" s="66">
        <f>IF(Valor_normalizado!G64=0,32,IFERROR(RANK(Valor_normalizado!G64,Valor_normalizado!G$34:G$65,0),"NA"))</f>
        <v>10</v>
      </c>
      <c r="H64" s="66">
        <f>IF(Valor_normalizado!H64=0,32,IFERROR(RANK(Valor_normalizado!H64,Valor_normalizado!H$34:H$65,0),"NA"))</f>
        <v>28</v>
      </c>
      <c r="I64" s="66">
        <f>IF(Valor_normalizado!I64=0,32,IFERROR(RANK(Valor_normalizado!I64,Valor_normalizado!I$34:I$65,0),"NA"))</f>
        <v>19</v>
      </c>
      <c r="J64" s="66">
        <f>IF(Valor_normalizado!J64=0,32,IFERROR(RANK(Valor_normalizado!J64,Valor_normalizado!J$34:J$65,0),"NA"))</f>
        <v>24</v>
      </c>
      <c r="K64" s="66">
        <f>IF(Valor_normalizado!K64=0,32,IFERROR(RANK(Valor_normalizado!K64,Valor_normalizado!K$34:K$65,0),"NA"))</f>
        <v>24</v>
      </c>
      <c r="L64" s="66">
        <f>IF(Valor_normalizado!L64=0,32,IFERROR(RANK(Valor_normalizado!L64,Valor_normalizado!L$34:L$65,0),"NA"))</f>
        <v>14</v>
      </c>
      <c r="M64" s="66">
        <f>IF(Valor_normalizado!M64=0,32,IFERROR(RANK(Valor_normalizado!M64,Valor_normalizado!M$34:M$65,0),"NA"))</f>
        <v>25</v>
      </c>
      <c r="N64" s="66">
        <f>IF(Valor_normalizado!N64=0,32,IFERROR(RANK(Valor_normalizado!N64,Valor_normalizado!N$34:N$65,0),"NA"))</f>
        <v>32</v>
      </c>
      <c r="O64" s="66">
        <f>IF(Valor_normalizado!O64=0,32,IFERROR(RANK(Valor_normalizado!O64,Valor_normalizado!O$34:O$65,0),"NA"))</f>
        <v>22</v>
      </c>
      <c r="P64" s="66">
        <f>IF(Valor_normalizado!P64=0,32,IFERROR(RANK(Valor_normalizado!P64,Valor_normalizado!P$34:P$65,0),"NA"))</f>
        <v>12</v>
      </c>
      <c r="Q64" s="66">
        <f>IF(Valor_normalizado!Q64=0,32,IFERROR(RANK(Valor_normalizado!Q64,Valor_normalizado!Q$34:Q$65,0),"NA"))</f>
        <v>24</v>
      </c>
      <c r="R64" s="66">
        <f>IF(Valor_normalizado!R64=0,32,IFERROR(RANK(Valor_normalizado!R64,Valor_normalizado!R$34:R$65,0),"NA"))</f>
        <v>23</v>
      </c>
      <c r="S64" s="66">
        <f>IF(Valor_normalizado!S64=0,32,IFERROR(RANK(Valor_normalizado!S64,Valor_normalizado!S$34:S$65,0),"NA"))</f>
        <v>14</v>
      </c>
      <c r="T64" s="66">
        <f>IF(Valor_normalizado!T64=0,32,IFERROR(RANK(Valor_normalizado!T64,Valor_normalizado!T$34:T$65,0),"NA"))</f>
        <v>12</v>
      </c>
      <c r="U64" s="66">
        <f>IF(Valor_normalizado!U64=0,32,IFERROR(RANK(Valor_normalizado!U64,Valor_normalizado!U$34:U$65,0),"NA"))</f>
        <v>17</v>
      </c>
      <c r="V64" s="66">
        <f>IF(Valor_normalizado!V64=0,32,IFERROR(RANK(Valor_normalizado!V64,Valor_normalizado!V$34:V$65,0),"NA"))</f>
        <v>18</v>
      </c>
      <c r="W64" s="66">
        <f>IF(Valor_normalizado!W64=0,32,IFERROR(RANK(Valor_normalizado!W64,Valor_normalizado!W$34:W$65,0),"NA"))</f>
        <v>17</v>
      </c>
      <c r="X64" s="66">
        <f>IF(Valor_normalizado!X64=0,32,IFERROR(RANK(Valor_normalizado!X64,Valor_normalizado!X$34:X$65,0),"NA"))</f>
        <v>22</v>
      </c>
      <c r="Y64" s="66">
        <f>IF(Valor_normalizado!Y64=0,32,IFERROR(RANK(Valor_normalizado!Y64,Valor_normalizado!Y$34:Y$65,0),"NA"))</f>
        <v>19</v>
      </c>
    </row>
    <row r="65" ht="14.25" customHeight="1">
      <c r="A65" s="51" t="s">
        <v>322</v>
      </c>
      <c r="B65" s="23">
        <v>2020.0</v>
      </c>
      <c r="C65" s="66">
        <f>IF(Valor_normalizado!C65=0,32,IFERROR(RANK(Valor_normalizado!C65,Valor_normalizado!C$34:C$65,0),"NA"))</f>
        <v>15</v>
      </c>
      <c r="D65" s="66">
        <f>IF(Valor_normalizado!D65=0,32,IFERROR(RANK(Valor_normalizado!D65,Valor_normalizado!D$34:D$65,0),"NA"))</f>
        <v>21</v>
      </c>
      <c r="E65" s="66">
        <f>IF(Valor_normalizado!E65=0,32,IFERROR(RANK(Valor_normalizado!E65,Valor_normalizado!E$34:E$65,0),"NA"))</f>
        <v>11</v>
      </c>
      <c r="F65" s="66">
        <f>IF(Valor_normalizado!F65=0,32,IFERROR(RANK(Valor_normalizado!F65,Valor_normalizado!F$34:F$65,0),"NA"))</f>
        <v>12</v>
      </c>
      <c r="G65" s="66">
        <f>IF(Valor_normalizado!G65=0,32,IFERROR(RANK(Valor_normalizado!G65,Valor_normalizado!G$34:G$65,0),"NA"))</f>
        <v>15</v>
      </c>
      <c r="H65" s="66">
        <f>IF(Valor_normalizado!H65=0,32,IFERROR(RANK(Valor_normalizado!H65,Valor_normalizado!H$34:H$65,0),"NA"))</f>
        <v>22</v>
      </c>
      <c r="I65" s="66">
        <f>IF(Valor_normalizado!I65=0,32,IFERROR(RANK(Valor_normalizado!I65,Valor_normalizado!I$34:I$65,0),"NA"))</f>
        <v>25</v>
      </c>
      <c r="J65" s="66">
        <f>IF(Valor_normalizado!J65=0,32,IFERROR(RANK(Valor_normalizado!J65,Valor_normalizado!J$34:J$65,0),"NA"))</f>
        <v>26</v>
      </c>
      <c r="K65" s="66">
        <f>IF(Valor_normalizado!K65=0,32,IFERROR(RANK(Valor_normalizado!K65,Valor_normalizado!K$34:K$65,0),"NA"))</f>
        <v>26</v>
      </c>
      <c r="L65" s="66">
        <f>IF(Valor_normalizado!L65=0,32,IFERROR(RANK(Valor_normalizado!L65,Valor_normalizado!L$34:L$65,0),"NA"))</f>
        <v>17</v>
      </c>
      <c r="M65" s="66">
        <f>IF(Valor_normalizado!M65=0,32,IFERROR(RANK(Valor_normalizado!M65,Valor_normalizado!M$34:M$65,0),"NA"))</f>
        <v>32</v>
      </c>
      <c r="N65" s="66">
        <f>IF(Valor_normalizado!N65=0,32,IFERROR(RANK(Valor_normalizado!N65,Valor_normalizado!N$34:N$65,0),"NA"))</f>
        <v>32</v>
      </c>
      <c r="O65" s="66">
        <f>IF(Valor_normalizado!O65=0,32,IFERROR(RANK(Valor_normalizado!O65,Valor_normalizado!O$34:O$65,0),"NA"))</f>
        <v>26</v>
      </c>
      <c r="P65" s="66">
        <f>IF(Valor_normalizado!P65=0,32,IFERROR(RANK(Valor_normalizado!P65,Valor_normalizado!P$34:P$65,0),"NA"))</f>
        <v>23</v>
      </c>
      <c r="Q65" s="66">
        <f>IF(Valor_normalizado!Q65=0,32,IFERROR(RANK(Valor_normalizado!Q65,Valor_normalizado!Q$34:Q$65,0),"NA"))</f>
        <v>32</v>
      </c>
      <c r="R65" s="66">
        <f>IF(Valor_normalizado!R65=0,32,IFERROR(RANK(Valor_normalizado!R65,Valor_normalizado!R$34:R$65,0),"NA"))</f>
        <v>26</v>
      </c>
      <c r="S65" s="66">
        <f>IF(Valor_normalizado!S65=0,32,IFERROR(RANK(Valor_normalizado!S65,Valor_normalizado!S$34:S$65,0),"NA"))</f>
        <v>32</v>
      </c>
      <c r="T65" s="66">
        <f>IF(Valor_normalizado!T65=0,32,IFERROR(RANK(Valor_normalizado!T65,Valor_normalizado!T$34:T$65,0),"NA"))</f>
        <v>32</v>
      </c>
      <c r="U65" s="66">
        <f>IF(Valor_normalizado!U65=0,32,IFERROR(RANK(Valor_normalizado!U65,Valor_normalizado!U$34:U$65,0),"NA"))</f>
        <v>11</v>
      </c>
      <c r="V65" s="66">
        <f>IF(Valor_normalizado!V65=0,32,IFERROR(RANK(Valor_normalizado!V65,Valor_normalizado!V$34:V$65,0),"NA"))</f>
        <v>20</v>
      </c>
      <c r="W65" s="66">
        <f>IF(Valor_normalizado!W65=0,32,IFERROR(RANK(Valor_normalizado!W65,Valor_normalizado!W$34:W$65,0),"NA"))</f>
        <v>19</v>
      </c>
      <c r="X65" s="66">
        <f>IF(Valor_normalizado!X65=0,32,IFERROR(RANK(Valor_normalizado!X65,Valor_normalizado!X$34:X$65,0),"NA"))</f>
        <v>26</v>
      </c>
      <c r="Y65" s="66">
        <f>IF(Valor_normalizado!Y65=0,32,IFERROR(RANK(Valor_normalizado!Y65,Valor_normalizado!Y$34:Y$65,0),"NA"))</f>
        <v>21</v>
      </c>
    </row>
    <row r="66" ht="14.25" hidden="1" customHeight="1">
      <c r="A66" s="49" t="s">
        <v>329</v>
      </c>
      <c r="B66" s="52">
        <v>2021.0</v>
      </c>
      <c r="C66" s="66">
        <f>IF(Valor_normalizado!C66=0,32,IFERROR(RANK(Valor_normalizado!C66,Valor_normalizado!C$66:C$97,0),"NA"))</f>
        <v>25</v>
      </c>
      <c r="D66" s="66">
        <f>IF(Valor_normalizado!D66=0,32,IFERROR(RANK(Valor_normalizado!D66,Valor_normalizado!D$66:D$97,0),"NA"))</f>
        <v>25</v>
      </c>
      <c r="E66" s="66">
        <f>IF(Valor_normalizado!E66=0,32,IFERROR(RANK(Valor_normalizado!E66,Valor_normalizado!E$66:E$97,0),"NA"))</f>
        <v>30</v>
      </c>
      <c r="F66" s="66">
        <f>IF(Valor_normalizado!F66=0,32,IFERROR(RANK(Valor_normalizado!F66,Valor_normalizado!F$66:F$97,0),"NA"))</f>
        <v>20</v>
      </c>
      <c r="G66" s="66">
        <f>IF(Valor_normalizado!G66=0,32,IFERROR(RANK(Valor_normalizado!G66,Valor_normalizado!G$66:G$97,0),"NA"))</f>
        <v>27</v>
      </c>
      <c r="H66" s="66">
        <f>IF(Valor_normalizado!H66=0,32,IFERROR(RANK(Valor_normalizado!H66,Valor_normalizado!H$66:H$97,0),"NA"))</f>
        <v>31</v>
      </c>
      <c r="I66" s="66">
        <f>IF(Valor_normalizado!I66=0,32,IFERROR(RANK(Valor_normalizado!I66,Valor_normalizado!I$66:I$97,0),"NA"))</f>
        <v>29</v>
      </c>
      <c r="J66" s="66">
        <f>IF(Valor_normalizado!J66=0,32,IFERROR(RANK(Valor_normalizado!J66,Valor_normalizado!J$66:J$97,0),"NA"))</f>
        <v>31</v>
      </c>
      <c r="K66" s="66">
        <f>IF(Valor_normalizado!K66=0,32,IFERROR(RANK(Valor_normalizado!K66,Valor_normalizado!K$66:K$97,0),"NA"))</f>
        <v>31</v>
      </c>
      <c r="L66" s="66">
        <f>IF(Valor_normalizado!L66=0,32,IFERROR(RANK(Valor_normalizado!L66,Valor_normalizado!L$66:L$97,0),"NA"))</f>
        <v>29</v>
      </c>
      <c r="M66" s="66">
        <f>IF(Valor_normalizado!M66=0,32,IFERROR(RANK(Valor_normalizado!M66,Valor_normalizado!M$66:M$97,0),"NA"))</f>
        <v>32</v>
      </c>
      <c r="N66" s="66">
        <f>IF(Valor_normalizado!N66=0,32,IFERROR(RANK(Valor_normalizado!N66,Valor_normalizado!N$66:N$97,0),"NA"))</f>
        <v>32</v>
      </c>
      <c r="O66" s="66">
        <f>IF(Valor_normalizado!O66=0,32,IFERROR(RANK(Valor_normalizado!O66,Valor_normalizado!O$66:O$97,0),"NA"))</f>
        <v>27</v>
      </c>
      <c r="P66" s="66">
        <f>IF(Valor_normalizado!P66=0,32,IFERROR(RANK(Valor_normalizado!P66,Valor_normalizado!P$66:P$97,0),"NA"))</f>
        <v>32</v>
      </c>
      <c r="Q66" s="66">
        <f>IF(Valor_normalizado!Q66=0,32,IFERROR(RANK(Valor_normalizado!Q66,Valor_normalizado!Q$66:Q$97,0),"NA"))</f>
        <v>32</v>
      </c>
      <c r="R66" s="66">
        <f>IF(Valor_normalizado!R66=0,32,IFERROR(RANK(Valor_normalizado!R66,Valor_normalizado!R$66:R$97,0),"NA"))</f>
        <v>28</v>
      </c>
      <c r="S66" s="66">
        <f>IF(Valor_normalizado!S66=0,32,IFERROR(RANK(Valor_normalizado!S66,Valor_normalizado!S$66:S$97,0),"NA"))</f>
        <v>32</v>
      </c>
      <c r="T66" s="66">
        <f>IF(Valor_normalizado!T66=0,32,IFERROR(RANK(Valor_normalizado!T66,Valor_normalizado!T$66:T$97,0),"NA"))</f>
        <v>32</v>
      </c>
      <c r="U66" s="66">
        <f>IF(Valor_normalizado!U66=0,32,IFERROR(RANK(Valor_normalizado!U66,Valor_normalizado!U$66:U$97,0),"NA"))</f>
        <v>32</v>
      </c>
      <c r="V66" s="66">
        <f>IF(Valor_normalizado!V66=0,32,IFERROR(RANK(Valor_normalizado!V66,Valor_normalizado!V$66:V$97,0),"NA"))</f>
        <v>29</v>
      </c>
      <c r="W66" s="66">
        <f>IF(Valor_normalizado!W66=0,32,IFERROR(RANK(Valor_normalizado!W66,Valor_normalizado!W$66:W$97,0),"NA"))</f>
        <v>29</v>
      </c>
      <c r="X66" s="66">
        <f>IF(Valor_normalizado!X66=0,32,IFERROR(RANK(Valor_normalizado!X66,Valor_normalizado!X$66:X$97,0),"NA"))</f>
        <v>28</v>
      </c>
      <c r="Y66" s="66">
        <f>IF(Valor_normalizado!Y66=0,32,IFERROR(RANK(Valor_normalizado!Y66,Valor_normalizado!Y$66:Y$97,0),"NA"))</f>
        <v>27</v>
      </c>
    </row>
    <row r="67" ht="14.25" hidden="1" customHeight="1">
      <c r="A67" s="51" t="s">
        <v>306</v>
      </c>
      <c r="B67" s="23">
        <v>2021.0</v>
      </c>
      <c r="C67" s="66">
        <f>IF(Valor_normalizado!C67=0,32,IFERROR(RANK(Valor_normalizado!C67,Valor_normalizado!C$66:C$97,0),"NA"))</f>
        <v>1</v>
      </c>
      <c r="D67" s="66">
        <f>IF(Valor_normalizado!D67=0,32,IFERROR(RANK(Valor_normalizado!D67,Valor_normalizado!D$66:D$97,0),"NA"))</f>
        <v>19</v>
      </c>
      <c r="E67" s="66">
        <f>IF(Valor_normalizado!E67=0,32,IFERROR(RANK(Valor_normalizado!E67,Valor_normalizado!E$66:E$97,0),"NA"))</f>
        <v>14</v>
      </c>
      <c r="F67" s="66">
        <f>IF(Valor_normalizado!F67=0,32,IFERROR(RANK(Valor_normalizado!F67,Valor_normalizado!F$66:F$97,0),"NA"))</f>
        <v>14</v>
      </c>
      <c r="G67" s="66">
        <f>IF(Valor_normalizado!G67=0,32,IFERROR(RANK(Valor_normalizado!G67,Valor_normalizado!G$66:G$97,0),"NA"))</f>
        <v>7</v>
      </c>
      <c r="H67" s="66">
        <f>IF(Valor_normalizado!H67=0,32,IFERROR(RANK(Valor_normalizado!H67,Valor_normalizado!H$66:H$97,0),"NA"))</f>
        <v>4</v>
      </c>
      <c r="I67" s="66">
        <f>IF(Valor_normalizado!I67=0,32,IFERROR(RANK(Valor_normalizado!I67,Valor_normalizado!I$66:I$97,0),"NA"))</f>
        <v>10</v>
      </c>
      <c r="J67" s="66">
        <f>IF(Valor_normalizado!J67=0,32,IFERROR(RANK(Valor_normalizado!J67,Valor_normalizado!J$66:J$97,0),"NA"))</f>
        <v>19</v>
      </c>
      <c r="K67" s="66">
        <f>IF(Valor_normalizado!K67=0,32,IFERROR(RANK(Valor_normalizado!K67,Valor_normalizado!K$66:K$97,0),"NA"))</f>
        <v>9</v>
      </c>
      <c r="L67" s="66">
        <f>IF(Valor_normalizado!L67=0,32,IFERROR(RANK(Valor_normalizado!L67,Valor_normalizado!L$66:L$97,0),"NA"))</f>
        <v>9</v>
      </c>
      <c r="M67" s="66">
        <f>IF(Valor_normalizado!M67=0,32,IFERROR(RANK(Valor_normalizado!M67,Valor_normalizado!M$66:M$97,0),"NA"))</f>
        <v>19</v>
      </c>
      <c r="N67" s="66">
        <f>IF(Valor_normalizado!N67=0,32,IFERROR(RANK(Valor_normalizado!N67,Valor_normalizado!N$66:N$97,0),"NA"))</f>
        <v>12</v>
      </c>
      <c r="O67" s="66">
        <f>IF(Valor_normalizado!O67=0,32,IFERROR(RANK(Valor_normalizado!O67,Valor_normalizado!O$66:O$97,0),"NA"))</f>
        <v>11</v>
      </c>
      <c r="P67" s="66">
        <f>IF(Valor_normalizado!P67=0,32,IFERROR(RANK(Valor_normalizado!P67,Valor_normalizado!P$66:P$97,0),"NA"))</f>
        <v>11</v>
      </c>
      <c r="Q67" s="66">
        <f>IF(Valor_normalizado!Q67=0,32,IFERROR(RANK(Valor_normalizado!Q67,Valor_normalizado!Q$66:Q$97,0),"NA"))</f>
        <v>15</v>
      </c>
      <c r="R67" s="66">
        <f>IF(Valor_normalizado!R67=0,32,IFERROR(RANK(Valor_normalizado!R67,Valor_normalizado!R$66:R$97,0),"NA"))</f>
        <v>15</v>
      </c>
      <c r="S67" s="66">
        <f>IF(Valor_normalizado!S67=0,32,IFERROR(RANK(Valor_normalizado!S67,Valor_normalizado!S$66:S$97,0),"NA"))</f>
        <v>1</v>
      </c>
      <c r="T67" s="66">
        <f>IF(Valor_normalizado!T67=0,32,IFERROR(RANK(Valor_normalizado!T67,Valor_normalizado!T$66:T$97,0),"NA"))</f>
        <v>2</v>
      </c>
      <c r="U67" s="66">
        <f>IF(Valor_normalizado!U67=0,32,IFERROR(RANK(Valor_normalizado!U67,Valor_normalizado!U$66:U$97,0),"NA"))</f>
        <v>5</v>
      </c>
      <c r="V67" s="66">
        <f>IF(Valor_normalizado!V67=0,32,IFERROR(RANK(Valor_normalizado!V67,Valor_normalizado!V$66:V$97,0),"NA"))</f>
        <v>11</v>
      </c>
      <c r="W67" s="66">
        <f>IF(Valor_normalizado!W67=0,32,IFERROR(RANK(Valor_normalizado!W67,Valor_normalizado!W$66:W$97,0),"NA"))</f>
        <v>4</v>
      </c>
      <c r="X67" s="66">
        <f>IF(Valor_normalizado!X67=0,32,IFERROR(RANK(Valor_normalizado!X67,Valor_normalizado!X$66:X$97,0),"NA"))</f>
        <v>5</v>
      </c>
      <c r="Y67" s="66">
        <f>IF(Valor_normalizado!Y67=0,32,IFERROR(RANK(Valor_normalizado!Y67,Valor_normalizado!Y$66:Y$97,0),"NA"))</f>
        <v>11</v>
      </c>
    </row>
    <row r="68" ht="14.25" hidden="1" customHeight="1">
      <c r="A68" s="49" t="s">
        <v>320</v>
      </c>
      <c r="B68" s="23">
        <v>2021.0</v>
      </c>
      <c r="C68" s="66">
        <f>IF(Valor_normalizado!C68=0,32,IFERROR(RANK(Valor_normalizado!C68,Valor_normalizado!C$66:C$97,0),"NA"))</f>
        <v>15</v>
      </c>
      <c r="D68" s="66">
        <f>IF(Valor_normalizado!D68=0,32,IFERROR(RANK(Valor_normalizado!D68,Valor_normalizado!D$66:D$97,0),"NA"))</f>
        <v>5</v>
      </c>
      <c r="E68" s="66">
        <f>IF(Valor_normalizado!E68=0,32,IFERROR(RANK(Valor_normalizado!E68,Valor_normalizado!E$66:E$97,0),"NA"))</f>
        <v>8</v>
      </c>
      <c r="F68" s="66">
        <f>IF(Valor_normalizado!F68=0,32,IFERROR(RANK(Valor_normalizado!F68,Valor_normalizado!F$66:F$97,0),"NA"))</f>
        <v>7</v>
      </c>
      <c r="G68" s="66">
        <f>IF(Valor_normalizado!G68=0,32,IFERROR(RANK(Valor_normalizado!G68,Valor_normalizado!G$66:G$97,0),"NA"))</f>
        <v>12</v>
      </c>
      <c r="H68" s="66">
        <f>IF(Valor_normalizado!H68=0,32,IFERROR(RANK(Valor_normalizado!H68,Valor_normalizado!H$66:H$97,0),"NA"))</f>
        <v>15</v>
      </c>
      <c r="I68" s="66">
        <f>IF(Valor_normalizado!I68=0,32,IFERROR(RANK(Valor_normalizado!I68,Valor_normalizado!I$66:I$97,0),"NA"))</f>
        <v>11</v>
      </c>
      <c r="J68" s="66">
        <f>IF(Valor_normalizado!J68=0,32,IFERROR(RANK(Valor_normalizado!J68,Valor_normalizado!J$66:J$97,0),"NA"))</f>
        <v>8</v>
      </c>
      <c r="K68" s="66">
        <f>IF(Valor_normalizado!K68=0,32,IFERROR(RANK(Valor_normalizado!K68,Valor_normalizado!K$66:K$97,0),"NA"))</f>
        <v>10</v>
      </c>
      <c r="L68" s="66">
        <f>IF(Valor_normalizado!L68=0,32,IFERROR(RANK(Valor_normalizado!L68,Valor_normalizado!L$66:L$97,0),"NA"))</f>
        <v>11</v>
      </c>
      <c r="M68" s="66">
        <f>IF(Valor_normalizado!M68=0,32,IFERROR(RANK(Valor_normalizado!M68,Valor_normalizado!M$66:M$97,0),"NA"))</f>
        <v>9</v>
      </c>
      <c r="N68" s="66">
        <f>IF(Valor_normalizado!N68=0,32,IFERROR(RANK(Valor_normalizado!N68,Valor_normalizado!N$66:N$97,0),"NA"))</f>
        <v>4</v>
      </c>
      <c r="O68" s="66">
        <f>IF(Valor_normalizado!O68=0,32,IFERROR(RANK(Valor_normalizado!O68,Valor_normalizado!O$66:O$97,0),"NA"))</f>
        <v>7</v>
      </c>
      <c r="P68" s="66">
        <f>IF(Valor_normalizado!P68=0,32,IFERROR(RANK(Valor_normalizado!P68,Valor_normalizado!P$66:P$97,0),"NA"))</f>
        <v>6</v>
      </c>
      <c r="Q68" s="66">
        <f>IF(Valor_normalizado!Q68=0,32,IFERROR(RANK(Valor_normalizado!Q68,Valor_normalizado!Q$66:Q$97,0),"NA"))</f>
        <v>14</v>
      </c>
      <c r="R68" s="66">
        <f>IF(Valor_normalizado!R68=0,32,IFERROR(RANK(Valor_normalizado!R68,Valor_normalizado!R$66:R$97,0),"NA"))</f>
        <v>5</v>
      </c>
      <c r="S68" s="66">
        <f>IF(Valor_normalizado!S68=0,32,IFERROR(RANK(Valor_normalizado!S68,Valor_normalizado!S$66:S$97,0),"NA"))</f>
        <v>11</v>
      </c>
      <c r="T68" s="66">
        <f>IF(Valor_normalizado!T68=0,32,IFERROR(RANK(Valor_normalizado!T68,Valor_normalizado!T$66:T$97,0),"NA"))</f>
        <v>12</v>
      </c>
      <c r="U68" s="66">
        <f>IF(Valor_normalizado!U68=0,32,IFERROR(RANK(Valor_normalizado!U68,Valor_normalizado!U$66:U$97,0),"NA"))</f>
        <v>14</v>
      </c>
      <c r="V68" s="66">
        <f>IF(Valor_normalizado!V68=0,32,IFERROR(RANK(Valor_normalizado!V68,Valor_normalizado!V$66:V$97,0),"NA"))</f>
        <v>8</v>
      </c>
      <c r="W68" s="66">
        <f>IF(Valor_normalizado!W68=0,32,IFERROR(RANK(Valor_normalizado!W68,Valor_normalizado!W$66:W$97,0),"NA"))</f>
        <v>12</v>
      </c>
      <c r="X68" s="66">
        <f>IF(Valor_normalizado!X68=0,32,IFERROR(RANK(Valor_normalizado!X68,Valor_normalizado!X$66:X$97,0),"NA"))</f>
        <v>10</v>
      </c>
      <c r="Y68" s="66">
        <f>IF(Valor_normalizado!Y68=0,32,IFERROR(RANK(Valor_normalizado!Y68,Valor_normalizado!Y$66:Y$97,0),"NA"))</f>
        <v>8</v>
      </c>
    </row>
    <row r="69" ht="14.25" hidden="1" customHeight="1">
      <c r="A69" s="51" t="s">
        <v>305</v>
      </c>
      <c r="B69" s="23">
        <v>2021.0</v>
      </c>
      <c r="C69" s="66">
        <f>IF(Valor_normalizado!C69=0,32,IFERROR(RANK(Valor_normalizado!C69,Valor_normalizado!C$66:C$97,0),"NA"))</f>
        <v>2</v>
      </c>
      <c r="D69" s="66">
        <f>IF(Valor_normalizado!D69=0,32,IFERROR(RANK(Valor_normalizado!D69,Valor_normalizado!D$66:D$97,0),"NA"))</f>
        <v>1</v>
      </c>
      <c r="E69" s="66">
        <f>IF(Valor_normalizado!E69=0,32,IFERROR(RANK(Valor_normalizado!E69,Valor_normalizado!E$66:E$97,0),"NA"))</f>
        <v>1</v>
      </c>
      <c r="F69" s="66">
        <f>IF(Valor_normalizado!F69=0,32,IFERROR(RANK(Valor_normalizado!F69,Valor_normalizado!F$66:F$97,0),"NA"))</f>
        <v>1</v>
      </c>
      <c r="G69" s="66">
        <f>IF(Valor_normalizado!G69=0,32,IFERROR(RANK(Valor_normalizado!G69,Valor_normalizado!G$66:G$97,0),"NA"))</f>
        <v>1</v>
      </c>
      <c r="H69" s="66">
        <f>IF(Valor_normalizado!H69=0,32,IFERROR(RANK(Valor_normalizado!H69,Valor_normalizado!H$66:H$97,0),"NA"))</f>
        <v>7</v>
      </c>
      <c r="I69" s="66">
        <f>IF(Valor_normalizado!I69=0,32,IFERROR(RANK(Valor_normalizado!I69,Valor_normalizado!I$66:I$97,0),"NA"))</f>
        <v>4</v>
      </c>
      <c r="J69" s="66">
        <f>IF(Valor_normalizado!J69=0,32,IFERROR(RANK(Valor_normalizado!J69,Valor_normalizado!J$66:J$97,0),"NA"))</f>
        <v>3</v>
      </c>
      <c r="K69" s="66">
        <f>IF(Valor_normalizado!K69=0,32,IFERROR(RANK(Valor_normalizado!K69,Valor_normalizado!K$66:K$97,0),"NA"))</f>
        <v>3</v>
      </c>
      <c r="L69" s="66">
        <f>IF(Valor_normalizado!L69=0,32,IFERROR(RANK(Valor_normalizado!L69,Valor_normalizado!L$66:L$97,0),"NA"))</f>
        <v>2</v>
      </c>
      <c r="M69" s="66">
        <f>IF(Valor_normalizado!M69=0,32,IFERROR(RANK(Valor_normalizado!M69,Valor_normalizado!M$66:M$97,0),"NA"))</f>
        <v>5</v>
      </c>
      <c r="N69" s="66">
        <f>IF(Valor_normalizado!N69=0,32,IFERROR(RANK(Valor_normalizado!N69,Valor_normalizado!N$66:N$97,0),"NA"))</f>
        <v>3</v>
      </c>
      <c r="O69" s="66">
        <f>IF(Valor_normalizado!O69=0,32,IFERROR(RANK(Valor_normalizado!O69,Valor_normalizado!O$66:O$97,0),"NA"))</f>
        <v>4</v>
      </c>
      <c r="P69" s="66">
        <f>IF(Valor_normalizado!P69=0,32,IFERROR(RANK(Valor_normalizado!P69,Valor_normalizado!P$66:P$97,0),"NA"))</f>
        <v>2</v>
      </c>
      <c r="Q69" s="66">
        <f>IF(Valor_normalizado!Q69=0,32,IFERROR(RANK(Valor_normalizado!Q69,Valor_normalizado!Q$66:Q$97,0),"NA"))</f>
        <v>16</v>
      </c>
      <c r="R69" s="66">
        <f>IF(Valor_normalizado!R69=0,32,IFERROR(RANK(Valor_normalizado!R69,Valor_normalizado!R$66:R$97,0),"NA"))</f>
        <v>3</v>
      </c>
      <c r="S69" s="66">
        <f>IF(Valor_normalizado!S69=0,32,IFERROR(RANK(Valor_normalizado!S69,Valor_normalizado!S$66:S$97,0),"NA"))</f>
        <v>4</v>
      </c>
      <c r="T69" s="66">
        <f>IF(Valor_normalizado!T69=0,32,IFERROR(RANK(Valor_normalizado!T69,Valor_normalizado!T$66:T$97,0),"NA"))</f>
        <v>3</v>
      </c>
      <c r="U69" s="66">
        <f>IF(Valor_normalizado!U69=0,32,IFERROR(RANK(Valor_normalizado!U69,Valor_normalizado!U$66:U$97,0),"NA"))</f>
        <v>3</v>
      </c>
      <c r="V69" s="66">
        <f>IF(Valor_normalizado!V69=0,32,IFERROR(RANK(Valor_normalizado!V69,Valor_normalizado!V$66:V$97,0),"NA"))</f>
        <v>1</v>
      </c>
      <c r="W69" s="66">
        <f>IF(Valor_normalizado!W69=0,32,IFERROR(RANK(Valor_normalizado!W69,Valor_normalizado!W$66:W$97,0),"NA"))</f>
        <v>2</v>
      </c>
      <c r="X69" s="66">
        <f>IF(Valor_normalizado!X69=0,32,IFERROR(RANK(Valor_normalizado!X69,Valor_normalizado!X$66:X$97,0),"NA"))</f>
        <v>2</v>
      </c>
      <c r="Y69" s="66">
        <f>IF(Valor_normalizado!Y69=0,32,IFERROR(RANK(Valor_normalizado!Y69,Valor_normalizado!Y$66:Y$97,0),"NA"))</f>
        <v>1</v>
      </c>
    </row>
    <row r="70" ht="14.25" hidden="1" customHeight="1">
      <c r="A70" s="49" t="s">
        <v>310</v>
      </c>
      <c r="B70" s="23">
        <v>2021.0</v>
      </c>
      <c r="C70" s="66">
        <f>IF(Valor_normalizado!C70=0,32,IFERROR(RANK(Valor_normalizado!C70,Valor_normalizado!C$66:C$97,0),"NA"))</f>
        <v>8</v>
      </c>
      <c r="D70" s="66">
        <f>IF(Valor_normalizado!D70=0,32,IFERROR(RANK(Valor_normalizado!D70,Valor_normalizado!D$66:D$97,0),"NA"))</f>
        <v>6</v>
      </c>
      <c r="E70" s="66">
        <f>IF(Valor_normalizado!E70=0,32,IFERROR(RANK(Valor_normalizado!E70,Valor_normalizado!E$66:E$97,0),"NA"))</f>
        <v>4</v>
      </c>
      <c r="F70" s="66">
        <f>IF(Valor_normalizado!F70=0,32,IFERROR(RANK(Valor_normalizado!F70,Valor_normalizado!F$66:F$97,0),"NA"))</f>
        <v>5</v>
      </c>
      <c r="G70" s="66">
        <f>IF(Valor_normalizado!G70=0,32,IFERROR(RANK(Valor_normalizado!G70,Valor_normalizado!G$66:G$97,0),"NA"))</f>
        <v>5</v>
      </c>
      <c r="H70" s="66">
        <f>IF(Valor_normalizado!H70=0,32,IFERROR(RANK(Valor_normalizado!H70,Valor_normalizado!H$66:H$97,0),"NA"))</f>
        <v>8</v>
      </c>
      <c r="I70" s="66">
        <f>IF(Valor_normalizado!I70=0,32,IFERROR(RANK(Valor_normalizado!I70,Valor_normalizado!I$66:I$97,0),"NA"))</f>
        <v>6</v>
      </c>
      <c r="J70" s="66">
        <f>IF(Valor_normalizado!J70=0,32,IFERROR(RANK(Valor_normalizado!J70,Valor_normalizado!J$66:J$97,0),"NA"))</f>
        <v>5</v>
      </c>
      <c r="K70" s="66">
        <f>IF(Valor_normalizado!K70=0,32,IFERROR(RANK(Valor_normalizado!K70,Valor_normalizado!K$66:K$97,0),"NA"))</f>
        <v>6</v>
      </c>
      <c r="L70" s="66">
        <f>IF(Valor_normalizado!L70=0,32,IFERROR(RANK(Valor_normalizado!L70,Valor_normalizado!L$66:L$97,0),"NA"))</f>
        <v>6</v>
      </c>
      <c r="M70" s="66">
        <f>IF(Valor_normalizado!M70=0,32,IFERROR(RANK(Valor_normalizado!M70,Valor_normalizado!M$66:M$97,0),"NA"))</f>
        <v>8</v>
      </c>
      <c r="N70" s="66">
        <f>IF(Valor_normalizado!N70=0,32,IFERROR(RANK(Valor_normalizado!N70,Valor_normalizado!N$66:N$97,0),"NA"))</f>
        <v>9</v>
      </c>
      <c r="O70" s="66">
        <f>IF(Valor_normalizado!O70=0,32,IFERROR(RANK(Valor_normalizado!O70,Valor_normalizado!O$66:O$97,0),"NA"))</f>
        <v>6</v>
      </c>
      <c r="P70" s="66">
        <f>IF(Valor_normalizado!P70=0,32,IFERROR(RANK(Valor_normalizado!P70,Valor_normalizado!P$66:P$97,0),"NA"))</f>
        <v>6</v>
      </c>
      <c r="Q70" s="66">
        <f>IF(Valor_normalizado!Q70=0,32,IFERROR(RANK(Valor_normalizado!Q70,Valor_normalizado!Q$66:Q$97,0),"NA"))</f>
        <v>18</v>
      </c>
      <c r="R70" s="66">
        <f>IF(Valor_normalizado!R70=0,32,IFERROR(RANK(Valor_normalizado!R70,Valor_normalizado!R$66:R$97,0),"NA"))</f>
        <v>7</v>
      </c>
      <c r="S70" s="66">
        <f>IF(Valor_normalizado!S70=0,32,IFERROR(RANK(Valor_normalizado!S70,Valor_normalizado!S$66:S$97,0),"NA"))</f>
        <v>3</v>
      </c>
      <c r="T70" s="66">
        <f>IF(Valor_normalizado!T70=0,32,IFERROR(RANK(Valor_normalizado!T70,Valor_normalizado!T$66:T$97,0),"NA"))</f>
        <v>7</v>
      </c>
      <c r="U70" s="66">
        <f>IF(Valor_normalizado!U70=0,32,IFERROR(RANK(Valor_normalizado!U70,Valor_normalizado!U$66:U$97,0),"NA"))</f>
        <v>10</v>
      </c>
      <c r="V70" s="66">
        <f>IF(Valor_normalizado!V70=0,32,IFERROR(RANK(Valor_normalizado!V70,Valor_normalizado!V$66:V$97,0),"NA"))</f>
        <v>7</v>
      </c>
      <c r="W70" s="66">
        <f>IF(Valor_normalizado!W70=0,32,IFERROR(RANK(Valor_normalizado!W70,Valor_normalizado!W$66:W$97,0),"NA"))</f>
        <v>6</v>
      </c>
      <c r="X70" s="66">
        <f>IF(Valor_normalizado!X70=0,32,IFERROR(RANK(Valor_normalizado!X70,Valor_normalizado!X$66:X$97,0),"NA"))</f>
        <v>6</v>
      </c>
      <c r="Y70" s="66">
        <f>IF(Valor_normalizado!Y70=0,32,IFERROR(RANK(Valor_normalizado!Y70,Valor_normalizado!Y$66:Y$97,0),"NA"))</f>
        <v>5</v>
      </c>
    </row>
    <row r="71" ht="14.25" hidden="1" customHeight="1">
      <c r="A71" s="51" t="s">
        <v>311</v>
      </c>
      <c r="B71" s="23">
        <v>2021.0</v>
      </c>
      <c r="C71" s="66">
        <f>IF(Valor_normalizado!C71=0,32,IFERROR(RANK(Valor_normalizado!C71,Valor_normalizado!C$66:C$97,0),"NA"))</f>
        <v>7</v>
      </c>
      <c r="D71" s="66">
        <f>IF(Valor_normalizado!D71=0,32,IFERROR(RANK(Valor_normalizado!D71,Valor_normalizado!D$66:D$97,0),"NA"))</f>
        <v>4</v>
      </c>
      <c r="E71" s="66">
        <f>IF(Valor_normalizado!E71=0,32,IFERROR(RANK(Valor_normalizado!E71,Valor_normalizado!E$66:E$97,0),"NA"))</f>
        <v>3</v>
      </c>
      <c r="F71" s="66">
        <f>IF(Valor_normalizado!F71=0,32,IFERROR(RANK(Valor_normalizado!F71,Valor_normalizado!F$66:F$97,0),"NA"))</f>
        <v>3</v>
      </c>
      <c r="G71" s="66">
        <f>IF(Valor_normalizado!G71=0,32,IFERROR(RANK(Valor_normalizado!G71,Valor_normalizado!G$66:G$97,0),"NA"))</f>
        <v>3</v>
      </c>
      <c r="H71" s="66">
        <f>IF(Valor_normalizado!H71=0,32,IFERROR(RANK(Valor_normalizado!H71,Valor_normalizado!H$66:H$97,0),"NA"))</f>
        <v>20</v>
      </c>
      <c r="I71" s="66">
        <f>IF(Valor_normalizado!I71=0,32,IFERROR(RANK(Valor_normalizado!I71,Valor_normalizado!I$66:I$97,0),"NA"))</f>
        <v>15</v>
      </c>
      <c r="J71" s="66">
        <f>IF(Valor_normalizado!J71=0,32,IFERROR(RANK(Valor_normalizado!J71,Valor_normalizado!J$66:J$97,0),"NA"))</f>
        <v>10</v>
      </c>
      <c r="K71" s="66">
        <f>IF(Valor_normalizado!K71=0,32,IFERROR(RANK(Valor_normalizado!K71,Valor_normalizado!K$66:K$97,0),"NA"))</f>
        <v>13</v>
      </c>
      <c r="L71" s="66">
        <f>IF(Valor_normalizado!L71=0,32,IFERROR(RANK(Valor_normalizado!L71,Valor_normalizado!L$66:L$97,0),"NA"))</f>
        <v>10</v>
      </c>
      <c r="M71" s="66">
        <f>IF(Valor_normalizado!M71=0,32,IFERROR(RANK(Valor_normalizado!M71,Valor_normalizado!M$66:M$97,0),"NA"))</f>
        <v>10</v>
      </c>
      <c r="N71" s="66">
        <f>IF(Valor_normalizado!N71=0,32,IFERROR(RANK(Valor_normalizado!N71,Valor_normalizado!N$66:N$97,0),"NA"))</f>
        <v>8</v>
      </c>
      <c r="O71" s="66">
        <f>IF(Valor_normalizado!O71=0,32,IFERROR(RANK(Valor_normalizado!O71,Valor_normalizado!O$66:O$97,0),"NA"))</f>
        <v>12</v>
      </c>
      <c r="P71" s="66">
        <f>IF(Valor_normalizado!P71=0,32,IFERROR(RANK(Valor_normalizado!P71,Valor_normalizado!P$66:P$97,0),"NA"))</f>
        <v>3</v>
      </c>
      <c r="Q71" s="66">
        <f>IF(Valor_normalizado!Q71=0,32,IFERROR(RANK(Valor_normalizado!Q71,Valor_normalizado!Q$66:Q$97,0),"NA"))</f>
        <v>10</v>
      </c>
      <c r="R71" s="66">
        <f>IF(Valor_normalizado!R71=0,32,IFERROR(RANK(Valor_normalizado!R71,Valor_normalizado!R$66:R$97,0),"NA"))</f>
        <v>8</v>
      </c>
      <c r="S71" s="66">
        <f>IF(Valor_normalizado!S71=0,32,IFERROR(RANK(Valor_normalizado!S71,Valor_normalizado!S$66:S$97,0),"NA"))</f>
        <v>10</v>
      </c>
      <c r="T71" s="66">
        <f>IF(Valor_normalizado!T71=0,32,IFERROR(RANK(Valor_normalizado!T71,Valor_normalizado!T$66:T$97,0),"NA"))</f>
        <v>10</v>
      </c>
      <c r="U71" s="66">
        <f>IF(Valor_normalizado!U71=0,32,IFERROR(RANK(Valor_normalizado!U71,Valor_normalizado!U$66:U$97,0),"NA"))</f>
        <v>7</v>
      </c>
      <c r="V71" s="66">
        <f>IF(Valor_normalizado!V71=0,32,IFERROR(RANK(Valor_normalizado!V71,Valor_normalizado!V$66:V$97,0),"NA"))</f>
        <v>4</v>
      </c>
      <c r="W71" s="66">
        <f>IF(Valor_normalizado!W71=0,32,IFERROR(RANK(Valor_normalizado!W71,Valor_normalizado!W$66:W$97,0),"NA"))</f>
        <v>9</v>
      </c>
      <c r="X71" s="66">
        <f>IF(Valor_normalizado!X71=0,32,IFERROR(RANK(Valor_normalizado!X71,Valor_normalizado!X$66:X$97,0),"NA"))</f>
        <v>8</v>
      </c>
      <c r="Y71" s="66">
        <f>IF(Valor_normalizado!Y71=0,32,IFERROR(RANK(Valor_normalizado!Y71,Valor_normalizado!Y$66:Y$97,0),"NA"))</f>
        <v>4</v>
      </c>
    </row>
    <row r="72" ht="14.25" hidden="1" customHeight="1">
      <c r="A72" s="49" t="s">
        <v>318</v>
      </c>
      <c r="B72" s="23">
        <v>2021.0</v>
      </c>
      <c r="C72" s="66">
        <f>IF(Valor_normalizado!C72=0,32,IFERROR(RANK(Valor_normalizado!C72,Valor_normalizado!C$66:C$97,0),"NA"))</f>
        <v>17</v>
      </c>
      <c r="D72" s="66">
        <f>IF(Valor_normalizado!D72=0,32,IFERROR(RANK(Valor_normalizado!D72,Valor_normalizado!D$66:D$97,0),"NA"))</f>
        <v>2</v>
      </c>
      <c r="E72" s="66">
        <f>IF(Valor_normalizado!E72=0,32,IFERROR(RANK(Valor_normalizado!E72,Valor_normalizado!E$66:E$97,0),"NA"))</f>
        <v>23</v>
      </c>
      <c r="F72" s="66">
        <f>IF(Valor_normalizado!F72=0,32,IFERROR(RANK(Valor_normalizado!F72,Valor_normalizado!F$66:F$97,0),"NA"))</f>
        <v>22</v>
      </c>
      <c r="G72" s="66">
        <f>IF(Valor_normalizado!G72=0,32,IFERROR(RANK(Valor_normalizado!G72,Valor_normalizado!G$66:G$97,0),"NA"))</f>
        <v>18</v>
      </c>
      <c r="H72" s="66">
        <f>IF(Valor_normalizado!H72=0,32,IFERROR(RANK(Valor_normalizado!H72,Valor_normalizado!H$66:H$97,0),"NA"))</f>
        <v>23</v>
      </c>
      <c r="I72" s="66">
        <f>IF(Valor_normalizado!I72=0,32,IFERROR(RANK(Valor_normalizado!I72,Valor_normalizado!I$66:I$97,0),"NA"))</f>
        <v>16</v>
      </c>
      <c r="J72" s="66">
        <f>IF(Valor_normalizado!J72=0,32,IFERROR(RANK(Valor_normalizado!J72,Valor_normalizado!J$66:J$97,0),"NA"))</f>
        <v>16</v>
      </c>
      <c r="K72" s="66">
        <f>IF(Valor_normalizado!K72=0,32,IFERROR(RANK(Valor_normalizado!K72,Valor_normalizado!K$66:K$97,0),"NA"))</f>
        <v>17</v>
      </c>
      <c r="L72" s="66">
        <f>IF(Valor_normalizado!L72=0,32,IFERROR(RANK(Valor_normalizado!L72,Valor_normalizado!L$66:L$97,0),"NA"))</f>
        <v>19</v>
      </c>
      <c r="M72" s="66">
        <f>IF(Valor_normalizado!M72=0,32,IFERROR(RANK(Valor_normalizado!M72,Valor_normalizado!M$66:M$97,0),"NA"))</f>
        <v>13</v>
      </c>
      <c r="N72" s="66">
        <f>IF(Valor_normalizado!N72=0,32,IFERROR(RANK(Valor_normalizado!N72,Valor_normalizado!N$66:N$97,0),"NA"))</f>
        <v>15</v>
      </c>
      <c r="O72" s="66">
        <f>IF(Valor_normalizado!O72=0,32,IFERROR(RANK(Valor_normalizado!O72,Valor_normalizado!O$66:O$97,0),"NA"))</f>
        <v>13</v>
      </c>
      <c r="P72" s="66">
        <f>IF(Valor_normalizado!P72=0,32,IFERROR(RANK(Valor_normalizado!P72,Valor_normalizado!P$66:P$97,0),"NA"))</f>
        <v>32</v>
      </c>
      <c r="Q72" s="66">
        <f>IF(Valor_normalizado!Q72=0,32,IFERROR(RANK(Valor_normalizado!Q72,Valor_normalizado!Q$66:Q$97,0),"NA"))</f>
        <v>8</v>
      </c>
      <c r="R72" s="66">
        <f>IF(Valor_normalizado!R72=0,32,IFERROR(RANK(Valor_normalizado!R72,Valor_normalizado!R$66:R$97,0),"NA"))</f>
        <v>20</v>
      </c>
      <c r="S72" s="66">
        <f>IF(Valor_normalizado!S72=0,32,IFERROR(RANK(Valor_normalizado!S72,Valor_normalizado!S$66:S$97,0),"NA"))</f>
        <v>20</v>
      </c>
      <c r="T72" s="66">
        <f>IF(Valor_normalizado!T72=0,32,IFERROR(RANK(Valor_normalizado!T72,Valor_normalizado!T$66:T$97,0),"NA"))</f>
        <v>17</v>
      </c>
      <c r="U72" s="66">
        <f>IF(Valor_normalizado!U72=0,32,IFERROR(RANK(Valor_normalizado!U72,Valor_normalizado!U$66:U$97,0),"NA"))</f>
        <v>9</v>
      </c>
      <c r="V72" s="66">
        <f>IF(Valor_normalizado!V72=0,32,IFERROR(RANK(Valor_normalizado!V72,Valor_normalizado!V$66:V$97,0),"NA"))</f>
        <v>12</v>
      </c>
      <c r="W72" s="66">
        <f>IF(Valor_normalizado!W72=0,32,IFERROR(RANK(Valor_normalizado!W72,Valor_normalizado!W$66:W$97,0),"NA"))</f>
        <v>14</v>
      </c>
      <c r="X72" s="66">
        <f>IF(Valor_normalizado!X72=0,32,IFERROR(RANK(Valor_normalizado!X72,Valor_normalizado!X$66:X$97,0),"NA"))</f>
        <v>17</v>
      </c>
      <c r="Y72" s="66">
        <f>IF(Valor_normalizado!Y72=0,32,IFERROR(RANK(Valor_normalizado!Y72,Valor_normalizado!Y$66:Y$97,0),"NA"))</f>
        <v>12</v>
      </c>
    </row>
    <row r="73" ht="14.25" hidden="1" customHeight="1">
      <c r="A73" s="51" t="s">
        <v>324</v>
      </c>
      <c r="B73" s="23">
        <v>2021.0</v>
      </c>
      <c r="C73" s="66">
        <f>IF(Valor_normalizado!C73=0,32,IFERROR(RANK(Valor_normalizado!C73,Valor_normalizado!C$66:C$97,0),"NA"))</f>
        <v>19</v>
      </c>
      <c r="D73" s="66">
        <f>IF(Valor_normalizado!D73=0,32,IFERROR(RANK(Valor_normalizado!D73,Valor_normalizado!D$66:D$97,0),"NA"))</f>
        <v>9</v>
      </c>
      <c r="E73" s="66">
        <f>IF(Valor_normalizado!E73=0,32,IFERROR(RANK(Valor_normalizado!E73,Valor_normalizado!E$66:E$97,0),"NA"))</f>
        <v>16</v>
      </c>
      <c r="F73" s="66">
        <f>IF(Valor_normalizado!F73=0,32,IFERROR(RANK(Valor_normalizado!F73,Valor_normalizado!F$66:F$97,0),"NA"))</f>
        <v>15</v>
      </c>
      <c r="G73" s="66">
        <f>IF(Valor_normalizado!G73=0,32,IFERROR(RANK(Valor_normalizado!G73,Valor_normalizado!G$66:G$97,0),"NA"))</f>
        <v>16</v>
      </c>
      <c r="H73" s="66">
        <f>IF(Valor_normalizado!H73=0,32,IFERROR(RANK(Valor_normalizado!H73,Valor_normalizado!H$66:H$97,0),"NA"))</f>
        <v>19</v>
      </c>
      <c r="I73" s="66">
        <f>IF(Valor_normalizado!I73=0,32,IFERROR(RANK(Valor_normalizado!I73,Valor_normalizado!I$66:I$97,0),"NA"))</f>
        <v>18</v>
      </c>
      <c r="J73" s="66">
        <f>IF(Valor_normalizado!J73=0,32,IFERROR(RANK(Valor_normalizado!J73,Valor_normalizado!J$66:J$97,0),"NA"))</f>
        <v>20</v>
      </c>
      <c r="K73" s="66">
        <f>IF(Valor_normalizado!K73=0,32,IFERROR(RANK(Valor_normalizado!K73,Valor_normalizado!K$66:K$97,0),"NA"))</f>
        <v>19</v>
      </c>
      <c r="L73" s="66">
        <f>IF(Valor_normalizado!L73=0,32,IFERROR(RANK(Valor_normalizado!L73,Valor_normalizado!L$66:L$97,0),"NA"))</f>
        <v>16</v>
      </c>
      <c r="M73" s="66">
        <f>IF(Valor_normalizado!M73=0,32,IFERROR(RANK(Valor_normalizado!M73,Valor_normalizado!M$66:M$97,0),"NA"))</f>
        <v>20</v>
      </c>
      <c r="N73" s="66">
        <f>IF(Valor_normalizado!N73=0,32,IFERROR(RANK(Valor_normalizado!N73,Valor_normalizado!N$66:N$97,0),"NA"))</f>
        <v>11</v>
      </c>
      <c r="O73" s="66">
        <f>IF(Valor_normalizado!O73=0,32,IFERROR(RANK(Valor_normalizado!O73,Valor_normalizado!O$66:O$97,0),"NA"))</f>
        <v>23</v>
      </c>
      <c r="P73" s="66">
        <f>IF(Valor_normalizado!P73=0,32,IFERROR(RANK(Valor_normalizado!P73,Valor_normalizado!P$66:P$97,0),"NA"))</f>
        <v>4</v>
      </c>
      <c r="Q73" s="66">
        <f>IF(Valor_normalizado!Q73=0,32,IFERROR(RANK(Valor_normalizado!Q73,Valor_normalizado!Q$66:Q$97,0),"NA"))</f>
        <v>17</v>
      </c>
      <c r="R73" s="66">
        <f>IF(Valor_normalizado!R73=0,32,IFERROR(RANK(Valor_normalizado!R73,Valor_normalizado!R$66:R$97,0),"NA"))</f>
        <v>18</v>
      </c>
      <c r="S73" s="66">
        <f>IF(Valor_normalizado!S73=0,32,IFERROR(RANK(Valor_normalizado!S73,Valor_normalizado!S$66:S$97,0),"NA"))</f>
        <v>13</v>
      </c>
      <c r="T73" s="66">
        <f>IF(Valor_normalizado!T73=0,32,IFERROR(RANK(Valor_normalizado!T73,Valor_normalizado!T$66:T$97,0),"NA"))</f>
        <v>18</v>
      </c>
      <c r="U73" s="66">
        <f>IF(Valor_normalizado!U73=0,32,IFERROR(RANK(Valor_normalizado!U73,Valor_normalizado!U$66:U$97,0),"NA"))</f>
        <v>18</v>
      </c>
      <c r="V73" s="66">
        <f>IF(Valor_normalizado!V73=0,32,IFERROR(RANK(Valor_normalizado!V73,Valor_normalizado!V$66:V$97,0),"NA"))</f>
        <v>13</v>
      </c>
      <c r="W73" s="66">
        <f>IF(Valor_normalizado!W73=0,32,IFERROR(RANK(Valor_normalizado!W73,Valor_normalizado!W$66:W$97,0),"NA"))</f>
        <v>18</v>
      </c>
      <c r="X73" s="66">
        <f>IF(Valor_normalizado!X73=0,32,IFERROR(RANK(Valor_normalizado!X73,Valor_normalizado!X$66:X$97,0),"NA"))</f>
        <v>16</v>
      </c>
      <c r="Y73" s="66">
        <f>IF(Valor_normalizado!Y73=0,32,IFERROR(RANK(Valor_normalizado!Y73,Valor_normalizado!Y$66:Y$97,0),"NA"))</f>
        <v>17</v>
      </c>
    </row>
    <row r="74" ht="14.25" hidden="1" customHeight="1">
      <c r="A74" s="49" t="s">
        <v>327</v>
      </c>
      <c r="B74" s="23">
        <v>2021.0</v>
      </c>
      <c r="C74" s="66">
        <f>IF(Valor_normalizado!C74=0,32,IFERROR(RANK(Valor_normalizado!C74,Valor_normalizado!C$66:C$97,0),"NA"))</f>
        <v>21</v>
      </c>
      <c r="D74" s="66">
        <f>IF(Valor_normalizado!D74=0,32,IFERROR(RANK(Valor_normalizado!D74,Valor_normalizado!D$66:D$97,0),"NA"))</f>
        <v>23</v>
      </c>
      <c r="E74" s="66">
        <f>IF(Valor_normalizado!E74=0,32,IFERROR(RANK(Valor_normalizado!E74,Valor_normalizado!E$66:E$97,0),"NA"))</f>
        <v>19</v>
      </c>
      <c r="F74" s="66">
        <f>IF(Valor_normalizado!F74=0,32,IFERROR(RANK(Valor_normalizado!F74,Valor_normalizado!F$66:F$97,0),"NA"))</f>
        <v>21</v>
      </c>
      <c r="G74" s="66">
        <f>IF(Valor_normalizado!G74=0,32,IFERROR(RANK(Valor_normalizado!G74,Valor_normalizado!G$66:G$97,0),"NA"))</f>
        <v>20</v>
      </c>
      <c r="H74" s="66">
        <f>IF(Valor_normalizado!H74=0,32,IFERROR(RANK(Valor_normalizado!H74,Valor_normalizado!H$66:H$97,0),"NA"))</f>
        <v>21</v>
      </c>
      <c r="I74" s="66">
        <f>IF(Valor_normalizado!I74=0,32,IFERROR(RANK(Valor_normalizado!I74,Valor_normalizado!I$66:I$97,0),"NA"))</f>
        <v>25</v>
      </c>
      <c r="J74" s="66">
        <f>IF(Valor_normalizado!J74=0,32,IFERROR(RANK(Valor_normalizado!J74,Valor_normalizado!J$66:J$97,0),"NA"))</f>
        <v>6</v>
      </c>
      <c r="K74" s="66">
        <f>IF(Valor_normalizado!K74=0,32,IFERROR(RANK(Valor_normalizado!K74,Valor_normalizado!K$66:K$97,0),"NA"))</f>
        <v>12</v>
      </c>
      <c r="L74" s="66">
        <f>IF(Valor_normalizado!L74=0,32,IFERROR(RANK(Valor_normalizado!L74,Valor_normalizado!L$66:L$97,0),"NA"))</f>
        <v>18</v>
      </c>
      <c r="M74" s="66">
        <f>IF(Valor_normalizado!M74=0,32,IFERROR(RANK(Valor_normalizado!M74,Valor_normalizado!M$66:M$97,0),"NA"))</f>
        <v>24</v>
      </c>
      <c r="N74" s="66">
        <f>IF(Valor_normalizado!N74=0,32,IFERROR(RANK(Valor_normalizado!N74,Valor_normalizado!N$66:N$97,0),"NA"))</f>
        <v>32</v>
      </c>
      <c r="O74" s="66">
        <f>IF(Valor_normalizado!O74=0,32,IFERROR(RANK(Valor_normalizado!O74,Valor_normalizado!O$66:O$97,0),"NA"))</f>
        <v>21</v>
      </c>
      <c r="P74" s="66">
        <f>IF(Valor_normalizado!P74=0,32,IFERROR(RANK(Valor_normalizado!P74,Valor_normalizado!P$66:P$97,0),"NA"))</f>
        <v>13</v>
      </c>
      <c r="Q74" s="66">
        <f>IF(Valor_normalizado!Q74=0,32,IFERROR(RANK(Valor_normalizado!Q74,Valor_normalizado!Q$66:Q$97,0),"NA"))</f>
        <v>23</v>
      </c>
      <c r="R74" s="66">
        <f>IF(Valor_normalizado!R74=0,32,IFERROR(RANK(Valor_normalizado!R74,Valor_normalizado!R$66:R$97,0),"NA"))</f>
        <v>22</v>
      </c>
      <c r="S74" s="66">
        <f>IF(Valor_normalizado!S74=0,32,IFERROR(RANK(Valor_normalizado!S74,Valor_normalizado!S$66:S$97,0),"NA"))</f>
        <v>32</v>
      </c>
      <c r="T74" s="66">
        <f>IF(Valor_normalizado!T74=0,32,IFERROR(RANK(Valor_normalizado!T74,Valor_normalizado!T$66:T$97,0),"NA"))</f>
        <v>32</v>
      </c>
      <c r="U74" s="66">
        <f>IF(Valor_normalizado!U74=0,32,IFERROR(RANK(Valor_normalizado!U74,Valor_normalizado!U$66:U$97,0),"NA"))</f>
        <v>32</v>
      </c>
      <c r="V74" s="66">
        <f>IF(Valor_normalizado!V74=0,32,IFERROR(RANK(Valor_normalizado!V74,Valor_normalizado!V$66:V$97,0),"NA"))</f>
        <v>26</v>
      </c>
      <c r="W74" s="66">
        <f>IF(Valor_normalizado!W74=0,32,IFERROR(RANK(Valor_normalizado!W74,Valor_normalizado!W$66:W$97,0),"NA"))</f>
        <v>27</v>
      </c>
      <c r="X74" s="66">
        <f>IF(Valor_normalizado!X74=0,32,IFERROR(RANK(Valor_normalizado!X74,Valor_normalizado!X$66:X$97,0),"NA"))</f>
        <v>23</v>
      </c>
      <c r="Y74" s="66">
        <f>IF(Valor_normalizado!Y74=0,32,IFERROR(RANK(Valor_normalizado!Y74,Valor_normalizado!Y$66:Y$97,0),"NA"))</f>
        <v>19</v>
      </c>
    </row>
    <row r="75" ht="14.25" hidden="1" customHeight="1">
      <c r="A75" s="51" t="s">
        <v>313</v>
      </c>
      <c r="B75" s="23">
        <v>2021.0</v>
      </c>
      <c r="C75" s="66">
        <f>IF(Valor_normalizado!C75=0,32,IFERROR(RANK(Valor_normalizado!C75,Valor_normalizado!C$66:C$97,0),"NA"))</f>
        <v>9</v>
      </c>
      <c r="D75" s="66">
        <f>IF(Valor_normalizado!D75=0,32,IFERROR(RANK(Valor_normalizado!D75,Valor_normalizado!D$66:D$97,0),"NA"))</f>
        <v>8</v>
      </c>
      <c r="E75" s="66">
        <f>IF(Valor_normalizado!E75=0,32,IFERROR(RANK(Valor_normalizado!E75,Valor_normalizado!E$66:E$97,0),"NA"))</f>
        <v>10</v>
      </c>
      <c r="F75" s="66">
        <f>IF(Valor_normalizado!F75=0,32,IFERROR(RANK(Valor_normalizado!F75,Valor_normalizado!F$66:F$97,0),"NA"))</f>
        <v>6</v>
      </c>
      <c r="G75" s="66">
        <f>IF(Valor_normalizado!G75=0,32,IFERROR(RANK(Valor_normalizado!G75,Valor_normalizado!G$66:G$97,0),"NA"))</f>
        <v>9</v>
      </c>
      <c r="H75" s="66">
        <f>IF(Valor_normalizado!H75=0,32,IFERROR(RANK(Valor_normalizado!H75,Valor_normalizado!H$66:H$97,0),"NA"))</f>
        <v>5</v>
      </c>
      <c r="I75" s="66">
        <f>IF(Valor_normalizado!I75=0,32,IFERROR(RANK(Valor_normalizado!I75,Valor_normalizado!I$66:I$97,0),"NA"))</f>
        <v>5</v>
      </c>
      <c r="J75" s="66">
        <f>IF(Valor_normalizado!J75=0,32,IFERROR(RANK(Valor_normalizado!J75,Valor_normalizado!J$66:J$97,0),"NA"))</f>
        <v>11</v>
      </c>
      <c r="K75" s="66">
        <f>IF(Valor_normalizado!K75=0,32,IFERROR(RANK(Valor_normalizado!K75,Valor_normalizado!K$66:K$97,0),"NA"))</f>
        <v>8</v>
      </c>
      <c r="L75" s="66">
        <f>IF(Valor_normalizado!L75=0,32,IFERROR(RANK(Valor_normalizado!L75,Valor_normalizado!L$66:L$97,0),"NA"))</f>
        <v>8</v>
      </c>
      <c r="M75" s="66">
        <f>IF(Valor_normalizado!M75=0,32,IFERROR(RANK(Valor_normalizado!M75,Valor_normalizado!M$66:M$97,0),"NA"))</f>
        <v>17</v>
      </c>
      <c r="N75" s="66">
        <f>IF(Valor_normalizado!N75=0,32,IFERROR(RANK(Valor_normalizado!N75,Valor_normalizado!N$66:N$97,0),"NA"))</f>
        <v>32</v>
      </c>
      <c r="O75" s="66">
        <f>IF(Valor_normalizado!O75=0,32,IFERROR(RANK(Valor_normalizado!O75,Valor_normalizado!O$66:O$97,0),"NA"))</f>
        <v>18</v>
      </c>
      <c r="P75" s="66">
        <f>IF(Valor_normalizado!P75=0,32,IFERROR(RANK(Valor_normalizado!P75,Valor_normalizado!P$66:P$97,0),"NA"))</f>
        <v>1</v>
      </c>
      <c r="Q75" s="66">
        <f>IF(Valor_normalizado!Q75=0,32,IFERROR(RANK(Valor_normalizado!Q75,Valor_normalizado!Q$66:Q$97,0),"NA"))</f>
        <v>20</v>
      </c>
      <c r="R75" s="66">
        <f>IF(Valor_normalizado!R75=0,32,IFERROR(RANK(Valor_normalizado!R75,Valor_normalizado!R$66:R$97,0),"NA"))</f>
        <v>12</v>
      </c>
      <c r="S75" s="66">
        <f>IF(Valor_normalizado!S75=0,32,IFERROR(RANK(Valor_normalizado!S75,Valor_normalizado!S$66:S$97,0),"NA"))</f>
        <v>12</v>
      </c>
      <c r="T75" s="66">
        <f>IF(Valor_normalizado!T75=0,32,IFERROR(RANK(Valor_normalizado!T75,Valor_normalizado!T$66:T$97,0),"NA"))</f>
        <v>13</v>
      </c>
      <c r="U75" s="66">
        <f>IF(Valor_normalizado!U75=0,32,IFERROR(RANK(Valor_normalizado!U75,Valor_normalizado!U$66:U$97,0),"NA"))</f>
        <v>1</v>
      </c>
      <c r="V75" s="66">
        <f>IF(Valor_normalizado!V75=0,32,IFERROR(RANK(Valor_normalizado!V75,Valor_normalizado!V$66:V$97,0),"NA"))</f>
        <v>10</v>
      </c>
      <c r="W75" s="66">
        <f>IF(Valor_normalizado!W75=0,32,IFERROR(RANK(Valor_normalizado!W75,Valor_normalizado!W$66:W$97,0),"NA"))</f>
        <v>7</v>
      </c>
      <c r="X75" s="66">
        <f>IF(Valor_normalizado!X75=0,32,IFERROR(RANK(Valor_normalizado!X75,Valor_normalizado!X$66:X$97,0),"NA"))</f>
        <v>9</v>
      </c>
      <c r="Y75" s="66">
        <f>IF(Valor_normalizado!Y75=0,32,IFERROR(RANK(Valor_normalizado!Y75,Valor_normalizado!Y$66:Y$97,0),"NA"))</f>
        <v>10</v>
      </c>
    </row>
    <row r="76" ht="14.25" hidden="1" customHeight="1">
      <c r="A76" s="49" t="s">
        <v>334</v>
      </c>
      <c r="B76" s="23">
        <v>2021.0</v>
      </c>
      <c r="C76" s="66">
        <f>IF(Valor_normalizado!C76=0,32,IFERROR(RANK(Valor_normalizado!C76,Valor_normalizado!C$66:C$97,0),"NA"))</f>
        <v>29</v>
      </c>
      <c r="D76" s="66">
        <f>IF(Valor_normalizado!D76=0,32,IFERROR(RANK(Valor_normalizado!D76,Valor_normalizado!D$66:D$97,0),"NA"))</f>
        <v>31</v>
      </c>
      <c r="E76" s="66">
        <f>IF(Valor_normalizado!E76=0,32,IFERROR(RANK(Valor_normalizado!E76,Valor_normalizado!E$66:E$97,0),"NA"))</f>
        <v>29</v>
      </c>
      <c r="F76" s="66">
        <f>IF(Valor_normalizado!F76=0,32,IFERROR(RANK(Valor_normalizado!F76,Valor_normalizado!F$66:F$97,0),"NA"))</f>
        <v>30</v>
      </c>
      <c r="G76" s="66">
        <f>IF(Valor_normalizado!G76=0,32,IFERROR(RANK(Valor_normalizado!G76,Valor_normalizado!G$66:G$97,0),"NA"))</f>
        <v>30</v>
      </c>
      <c r="H76" s="66">
        <f>IF(Valor_normalizado!H76=0,32,IFERROR(RANK(Valor_normalizado!H76,Valor_normalizado!H$66:H$97,0),"NA"))</f>
        <v>24</v>
      </c>
      <c r="I76" s="66">
        <f>IF(Valor_normalizado!I76=0,32,IFERROR(RANK(Valor_normalizado!I76,Valor_normalizado!I$66:I$97,0),"NA"))</f>
        <v>27</v>
      </c>
      <c r="J76" s="66">
        <f>IF(Valor_normalizado!J76=0,32,IFERROR(RANK(Valor_normalizado!J76,Valor_normalizado!J$66:J$97,0),"NA"))</f>
        <v>6</v>
      </c>
      <c r="K76" s="66">
        <f>IF(Valor_normalizado!K76=0,32,IFERROR(RANK(Valor_normalizado!K76,Valor_normalizado!K$66:K$97,0),"NA"))</f>
        <v>15</v>
      </c>
      <c r="L76" s="66">
        <f>IF(Valor_normalizado!L76=0,32,IFERROR(RANK(Valor_normalizado!L76,Valor_normalizado!L$66:L$97,0),"NA"))</f>
        <v>27</v>
      </c>
      <c r="M76" s="66">
        <f>IF(Valor_normalizado!M76=0,32,IFERROR(RANK(Valor_normalizado!M76,Valor_normalizado!M$66:M$97,0),"NA"))</f>
        <v>32</v>
      </c>
      <c r="N76" s="66">
        <f>IF(Valor_normalizado!N76=0,32,IFERROR(RANK(Valor_normalizado!N76,Valor_normalizado!N$66:N$97,0),"NA"))</f>
        <v>32</v>
      </c>
      <c r="O76" s="66">
        <f>IF(Valor_normalizado!O76=0,32,IFERROR(RANK(Valor_normalizado!O76,Valor_normalizado!O$66:O$97,0),"NA"))</f>
        <v>32</v>
      </c>
      <c r="P76" s="66">
        <f>IF(Valor_normalizado!P76=0,32,IFERROR(RANK(Valor_normalizado!P76,Valor_normalizado!P$66:P$97,0),"NA"))</f>
        <v>32</v>
      </c>
      <c r="Q76" s="66">
        <f>IF(Valor_normalizado!Q76=0,32,IFERROR(RANK(Valor_normalizado!Q76,Valor_normalizado!Q$66:Q$97,0),"NA"))</f>
        <v>32</v>
      </c>
      <c r="R76" s="66">
        <f>IF(Valor_normalizado!R76=0,32,IFERROR(RANK(Valor_normalizado!R76,Valor_normalizado!R$66:R$97,0),"NA"))</f>
        <v>32</v>
      </c>
      <c r="S76" s="66">
        <f>IF(Valor_normalizado!S76=0,32,IFERROR(RANK(Valor_normalizado!S76,Valor_normalizado!S$66:S$97,0),"NA"))</f>
        <v>32</v>
      </c>
      <c r="T76" s="66">
        <f>IF(Valor_normalizado!T76=0,32,IFERROR(RANK(Valor_normalizado!T76,Valor_normalizado!T$66:T$97,0),"NA"))</f>
        <v>32</v>
      </c>
      <c r="U76" s="66">
        <f>IF(Valor_normalizado!U76=0,32,IFERROR(RANK(Valor_normalizado!U76,Valor_normalizado!U$66:U$97,0),"NA"))</f>
        <v>32</v>
      </c>
      <c r="V76" s="66">
        <f>IF(Valor_normalizado!V76=0,32,IFERROR(RANK(Valor_normalizado!V76,Valor_normalizado!V$66:V$97,0),"NA"))</f>
        <v>28</v>
      </c>
      <c r="W76" s="66">
        <f>IF(Valor_normalizado!W76=0,32,IFERROR(RANK(Valor_normalizado!W76,Valor_normalizado!W$66:W$97,0),"NA"))</f>
        <v>28</v>
      </c>
      <c r="X76" s="66">
        <f>IF(Valor_normalizado!X76=0,32,IFERROR(RANK(Valor_normalizado!X76,Valor_normalizado!X$66:X$97,0),"NA"))</f>
        <v>30</v>
      </c>
      <c r="Y76" s="66">
        <f>IF(Valor_normalizado!Y76=0,32,IFERROR(RANK(Valor_normalizado!Y76,Valor_normalizado!Y$66:Y$97,0),"NA"))</f>
        <v>31</v>
      </c>
    </row>
    <row r="77" ht="14.25" hidden="1" customHeight="1">
      <c r="A77" s="51" t="s">
        <v>335</v>
      </c>
      <c r="B77" s="23">
        <v>2021.0</v>
      </c>
      <c r="C77" s="66">
        <f>IF(Valor_normalizado!C77=0,32,IFERROR(RANK(Valor_normalizado!C77,Valor_normalizado!C$66:C$97,0),"NA"))</f>
        <v>31</v>
      </c>
      <c r="D77" s="66">
        <f>IF(Valor_normalizado!D77=0,32,IFERROR(RANK(Valor_normalizado!D77,Valor_normalizado!D$66:D$97,0),"NA"))</f>
        <v>29</v>
      </c>
      <c r="E77" s="66">
        <f>IF(Valor_normalizado!E77=0,32,IFERROR(RANK(Valor_normalizado!E77,Valor_normalizado!E$66:E$97,0),"NA"))</f>
        <v>32</v>
      </c>
      <c r="F77" s="66">
        <f>IF(Valor_normalizado!F77=0,32,IFERROR(RANK(Valor_normalizado!F77,Valor_normalizado!F$66:F$97,0),"NA"))</f>
        <v>31</v>
      </c>
      <c r="G77" s="66">
        <f>IF(Valor_normalizado!G77=0,32,IFERROR(RANK(Valor_normalizado!G77,Valor_normalizado!G$66:G$97,0),"NA"))</f>
        <v>32</v>
      </c>
      <c r="H77" s="66">
        <f>IF(Valor_normalizado!H77=0,32,IFERROR(RANK(Valor_normalizado!H77,Valor_normalizado!H$66:H$97,0),"NA"))</f>
        <v>29</v>
      </c>
      <c r="I77" s="66">
        <f>IF(Valor_normalizado!I77=0,32,IFERROR(RANK(Valor_normalizado!I77,Valor_normalizado!I$66:I$97,0),"NA"))</f>
        <v>30</v>
      </c>
      <c r="J77" s="66">
        <f>IF(Valor_normalizado!J77=0,32,IFERROR(RANK(Valor_normalizado!J77,Valor_normalizado!J$66:J$97,0),"NA"))</f>
        <v>28</v>
      </c>
      <c r="K77" s="66">
        <f>IF(Valor_normalizado!K77=0,32,IFERROR(RANK(Valor_normalizado!K77,Valor_normalizado!K$66:K$97,0),"NA"))</f>
        <v>30</v>
      </c>
      <c r="L77" s="66">
        <f>IF(Valor_normalizado!L77=0,32,IFERROR(RANK(Valor_normalizado!L77,Valor_normalizado!L$66:L$97,0),"NA"))</f>
        <v>31</v>
      </c>
      <c r="M77" s="66">
        <f>IF(Valor_normalizado!M77=0,32,IFERROR(RANK(Valor_normalizado!M77,Valor_normalizado!M$66:M$97,0),"NA"))</f>
        <v>4</v>
      </c>
      <c r="N77" s="66">
        <f>IF(Valor_normalizado!N77=0,32,IFERROR(RANK(Valor_normalizado!N77,Valor_normalizado!N$66:N$97,0),"NA"))</f>
        <v>32</v>
      </c>
      <c r="O77" s="66">
        <f>IF(Valor_normalizado!O77=0,32,IFERROR(RANK(Valor_normalizado!O77,Valor_normalizado!O$66:O$97,0),"NA"))</f>
        <v>17</v>
      </c>
      <c r="P77" s="66">
        <f>IF(Valor_normalizado!P77=0,32,IFERROR(RANK(Valor_normalizado!P77,Valor_normalizado!P$66:P$97,0),"NA"))</f>
        <v>22</v>
      </c>
      <c r="Q77" s="66">
        <f>IF(Valor_normalizado!Q77=0,32,IFERROR(RANK(Valor_normalizado!Q77,Valor_normalizado!Q$66:Q$97,0),"NA"))</f>
        <v>1</v>
      </c>
      <c r="R77" s="66">
        <f>IF(Valor_normalizado!R77=0,32,IFERROR(RANK(Valor_normalizado!R77,Valor_normalizado!R$66:R$97,0),"NA"))</f>
        <v>11</v>
      </c>
      <c r="S77" s="66">
        <f>IF(Valor_normalizado!S77=0,32,IFERROR(RANK(Valor_normalizado!S77,Valor_normalizado!S$66:S$97,0),"NA"))</f>
        <v>32</v>
      </c>
      <c r="T77" s="66">
        <f>IF(Valor_normalizado!T77=0,32,IFERROR(RANK(Valor_normalizado!T77,Valor_normalizado!T$66:T$97,0),"NA"))</f>
        <v>32</v>
      </c>
      <c r="U77" s="66">
        <f>IF(Valor_normalizado!U77=0,32,IFERROR(RANK(Valor_normalizado!U77,Valor_normalizado!U$66:U$97,0),"NA"))</f>
        <v>32</v>
      </c>
      <c r="V77" s="66">
        <f>IF(Valor_normalizado!V77=0,32,IFERROR(RANK(Valor_normalizado!V77,Valor_normalizado!V$66:V$97,0),"NA"))</f>
        <v>15</v>
      </c>
      <c r="W77" s="66">
        <f>IF(Valor_normalizado!W77=0,32,IFERROR(RANK(Valor_normalizado!W77,Valor_normalizado!W$66:W$97,0),"NA"))</f>
        <v>22</v>
      </c>
      <c r="X77" s="66">
        <f>IF(Valor_normalizado!X77=0,32,IFERROR(RANK(Valor_normalizado!X77,Valor_normalizado!X$66:X$97,0),"NA"))</f>
        <v>18</v>
      </c>
      <c r="Y77" s="66">
        <f>IF(Valor_normalizado!Y77=0,32,IFERROR(RANK(Valor_normalizado!Y77,Valor_normalizado!Y$66:Y$97,0),"NA"))</f>
        <v>29</v>
      </c>
    </row>
    <row r="78" ht="14.25" hidden="1" customHeight="1">
      <c r="A78" s="49" t="s">
        <v>315</v>
      </c>
      <c r="B78" s="23">
        <v>2021.0</v>
      </c>
      <c r="C78" s="66">
        <f>IF(Valor_normalizado!C78=0,32,IFERROR(RANK(Valor_normalizado!C78,Valor_normalizado!C$66:C$97,0),"NA"))</f>
        <v>10</v>
      </c>
      <c r="D78" s="66">
        <f>IF(Valor_normalizado!D78=0,32,IFERROR(RANK(Valor_normalizado!D78,Valor_normalizado!D$66:D$97,0),"NA"))</f>
        <v>15</v>
      </c>
      <c r="E78" s="66">
        <f>IF(Valor_normalizado!E78=0,32,IFERROR(RANK(Valor_normalizado!E78,Valor_normalizado!E$66:E$97,0),"NA"))</f>
        <v>6</v>
      </c>
      <c r="F78" s="66">
        <f>IF(Valor_normalizado!F78=0,32,IFERROR(RANK(Valor_normalizado!F78,Valor_normalizado!F$66:F$97,0),"NA"))</f>
        <v>10</v>
      </c>
      <c r="G78" s="66">
        <f>IF(Valor_normalizado!G78=0,32,IFERROR(RANK(Valor_normalizado!G78,Valor_normalizado!G$66:G$97,0),"NA"))</f>
        <v>8</v>
      </c>
      <c r="H78" s="66">
        <f>IF(Valor_normalizado!H78=0,32,IFERROR(RANK(Valor_normalizado!H78,Valor_normalizado!H$66:H$97,0),"NA"))</f>
        <v>6</v>
      </c>
      <c r="I78" s="66">
        <f>IF(Valor_normalizado!I78=0,32,IFERROR(RANK(Valor_normalizado!I78,Valor_normalizado!I$66:I$97,0),"NA"))</f>
        <v>2</v>
      </c>
      <c r="J78" s="66">
        <f>IF(Valor_normalizado!J78=0,32,IFERROR(RANK(Valor_normalizado!J78,Valor_normalizado!J$66:J$97,0),"NA"))</f>
        <v>1</v>
      </c>
      <c r="K78" s="66">
        <f>IF(Valor_normalizado!K78=0,32,IFERROR(RANK(Valor_normalizado!K78,Valor_normalizado!K$66:K$97,0),"NA"))</f>
        <v>2</v>
      </c>
      <c r="L78" s="66">
        <f>IF(Valor_normalizado!L78=0,32,IFERROR(RANK(Valor_normalizado!L78,Valor_normalizado!L$66:L$97,0),"NA"))</f>
        <v>4</v>
      </c>
      <c r="M78" s="66">
        <f>IF(Valor_normalizado!M78=0,32,IFERROR(RANK(Valor_normalizado!M78,Valor_normalizado!M$66:M$97,0),"NA"))</f>
        <v>2</v>
      </c>
      <c r="N78" s="66">
        <f>IF(Valor_normalizado!N78=0,32,IFERROR(RANK(Valor_normalizado!N78,Valor_normalizado!N$66:N$97,0),"NA"))</f>
        <v>2</v>
      </c>
      <c r="O78" s="66">
        <f>IF(Valor_normalizado!O78=0,32,IFERROR(RANK(Valor_normalizado!O78,Valor_normalizado!O$66:O$97,0),"NA"))</f>
        <v>2</v>
      </c>
      <c r="P78" s="66">
        <f>IF(Valor_normalizado!P78=0,32,IFERROR(RANK(Valor_normalizado!P78,Valor_normalizado!P$66:P$97,0),"NA"))</f>
        <v>16</v>
      </c>
      <c r="Q78" s="66">
        <f>IF(Valor_normalizado!Q78=0,32,IFERROR(RANK(Valor_normalizado!Q78,Valor_normalizado!Q$66:Q$97,0),"NA"))</f>
        <v>3</v>
      </c>
      <c r="R78" s="66">
        <f>IF(Valor_normalizado!R78=0,32,IFERROR(RANK(Valor_normalizado!R78,Valor_normalizado!R$66:R$97,0),"NA"))</f>
        <v>2</v>
      </c>
      <c r="S78" s="66">
        <f>IF(Valor_normalizado!S78=0,32,IFERROR(RANK(Valor_normalizado!S78,Valor_normalizado!S$66:S$97,0),"NA"))</f>
        <v>2</v>
      </c>
      <c r="T78" s="66">
        <f>IF(Valor_normalizado!T78=0,32,IFERROR(RANK(Valor_normalizado!T78,Valor_normalizado!T$66:T$97,0),"NA"))</f>
        <v>1</v>
      </c>
      <c r="U78" s="66">
        <f>IF(Valor_normalizado!U78=0,32,IFERROR(RANK(Valor_normalizado!U78,Valor_normalizado!U$66:U$97,0),"NA"))</f>
        <v>4</v>
      </c>
      <c r="V78" s="66">
        <f>IF(Valor_normalizado!V78=0,32,IFERROR(RANK(Valor_normalizado!V78,Valor_normalizado!V$66:V$97,0),"NA"))</f>
        <v>6</v>
      </c>
      <c r="W78" s="66">
        <f>IF(Valor_normalizado!W78=0,32,IFERROR(RANK(Valor_normalizado!W78,Valor_normalizado!W$66:W$97,0),"NA"))</f>
        <v>3</v>
      </c>
      <c r="X78" s="66">
        <f>IF(Valor_normalizado!X78=0,32,IFERROR(RANK(Valor_normalizado!X78,Valor_normalizado!X$66:X$97,0),"NA"))</f>
        <v>1</v>
      </c>
      <c r="Y78" s="66">
        <f>IF(Valor_normalizado!Y78=0,32,IFERROR(RANK(Valor_normalizado!Y78,Valor_normalizado!Y$66:Y$97,0),"NA"))</f>
        <v>7</v>
      </c>
    </row>
    <row r="79" ht="14.25" hidden="1" customHeight="1">
      <c r="A79" s="51" t="s">
        <v>307</v>
      </c>
      <c r="B79" s="23">
        <v>2021.0</v>
      </c>
      <c r="C79" s="66">
        <f>IF(Valor_normalizado!C79=0,32,IFERROR(RANK(Valor_normalizado!C79,Valor_normalizado!C$66:C$97,0),"NA"))</f>
        <v>4</v>
      </c>
      <c r="D79" s="66">
        <f>IF(Valor_normalizado!D79=0,32,IFERROR(RANK(Valor_normalizado!D79,Valor_normalizado!D$66:D$97,0),"NA"))</f>
        <v>7</v>
      </c>
      <c r="E79" s="66">
        <f>IF(Valor_normalizado!E79=0,32,IFERROR(RANK(Valor_normalizado!E79,Valor_normalizado!E$66:E$97,0),"NA"))</f>
        <v>5</v>
      </c>
      <c r="F79" s="66">
        <f>IF(Valor_normalizado!F79=0,32,IFERROR(RANK(Valor_normalizado!F79,Valor_normalizado!F$66:F$97,0),"NA"))</f>
        <v>8</v>
      </c>
      <c r="G79" s="66">
        <f>IF(Valor_normalizado!G79=0,32,IFERROR(RANK(Valor_normalizado!G79,Valor_normalizado!G$66:G$97,0),"NA"))</f>
        <v>4</v>
      </c>
      <c r="H79" s="66">
        <f>IF(Valor_normalizado!H79=0,32,IFERROR(RANK(Valor_normalizado!H79,Valor_normalizado!H$66:H$97,0),"NA"))</f>
        <v>9</v>
      </c>
      <c r="I79" s="66">
        <f>IF(Valor_normalizado!I79=0,32,IFERROR(RANK(Valor_normalizado!I79,Valor_normalizado!I$66:I$97,0),"NA"))</f>
        <v>7</v>
      </c>
      <c r="J79" s="66">
        <f>IF(Valor_normalizado!J79=0,32,IFERROR(RANK(Valor_normalizado!J79,Valor_normalizado!J$66:J$97,0),"NA"))</f>
        <v>4</v>
      </c>
      <c r="K79" s="66">
        <f>IF(Valor_normalizado!K79=0,32,IFERROR(RANK(Valor_normalizado!K79,Valor_normalizado!K$66:K$97,0),"NA"))</f>
        <v>7</v>
      </c>
      <c r="L79" s="66">
        <f>IF(Valor_normalizado!L79=0,32,IFERROR(RANK(Valor_normalizado!L79,Valor_normalizado!L$66:L$97,0),"NA"))</f>
        <v>5</v>
      </c>
      <c r="M79" s="66">
        <f>IF(Valor_normalizado!M79=0,32,IFERROR(RANK(Valor_normalizado!M79,Valor_normalizado!M$66:M$97,0),"NA"))</f>
        <v>3</v>
      </c>
      <c r="N79" s="66">
        <f>IF(Valor_normalizado!N79=0,32,IFERROR(RANK(Valor_normalizado!N79,Valor_normalizado!N$66:N$97,0),"NA"))</f>
        <v>5</v>
      </c>
      <c r="O79" s="66">
        <f>IF(Valor_normalizado!O79=0,32,IFERROR(RANK(Valor_normalizado!O79,Valor_normalizado!O$66:O$97,0),"NA"))</f>
        <v>3</v>
      </c>
      <c r="P79" s="66">
        <f>IF(Valor_normalizado!P79=0,32,IFERROR(RANK(Valor_normalizado!P79,Valor_normalizado!P$66:P$97,0),"NA"))</f>
        <v>10</v>
      </c>
      <c r="Q79" s="66">
        <f>IF(Valor_normalizado!Q79=0,32,IFERROR(RANK(Valor_normalizado!Q79,Valor_normalizado!Q$66:Q$97,0),"NA"))</f>
        <v>13</v>
      </c>
      <c r="R79" s="66">
        <f>IF(Valor_normalizado!R79=0,32,IFERROR(RANK(Valor_normalizado!R79,Valor_normalizado!R$66:R$97,0),"NA"))</f>
        <v>4</v>
      </c>
      <c r="S79" s="66">
        <f>IF(Valor_normalizado!S79=0,32,IFERROR(RANK(Valor_normalizado!S79,Valor_normalizado!S$66:S$97,0),"NA"))</f>
        <v>5</v>
      </c>
      <c r="T79" s="66">
        <f>IF(Valor_normalizado!T79=0,32,IFERROR(RANK(Valor_normalizado!T79,Valor_normalizado!T$66:T$97,0),"NA"))</f>
        <v>8</v>
      </c>
      <c r="U79" s="66">
        <f>IF(Valor_normalizado!U79=0,32,IFERROR(RANK(Valor_normalizado!U79,Valor_normalizado!U$66:U$97,0),"NA"))</f>
        <v>2</v>
      </c>
      <c r="V79" s="66">
        <f>IF(Valor_normalizado!V79=0,32,IFERROR(RANK(Valor_normalizado!V79,Valor_normalizado!V$66:V$97,0),"NA"))</f>
        <v>2</v>
      </c>
      <c r="W79" s="66">
        <f>IF(Valor_normalizado!W79=0,32,IFERROR(RANK(Valor_normalizado!W79,Valor_normalizado!W$66:W$97,0),"NA"))</f>
        <v>1</v>
      </c>
      <c r="X79" s="66">
        <f>IF(Valor_normalizado!X79=0,32,IFERROR(RANK(Valor_normalizado!X79,Valor_normalizado!X$66:X$97,0),"NA"))</f>
        <v>3</v>
      </c>
      <c r="Y79" s="66">
        <f>IF(Valor_normalizado!Y79=0,32,IFERROR(RANK(Valor_normalizado!Y79,Valor_normalizado!Y$66:Y$97,0),"NA"))</f>
        <v>2</v>
      </c>
    </row>
    <row r="80" ht="14.25" hidden="1" customHeight="1">
      <c r="A80" s="49" t="s">
        <v>336</v>
      </c>
      <c r="B80" s="23">
        <v>2021.0</v>
      </c>
      <c r="C80" s="66">
        <f>IF(Valor_normalizado!C80=0,32,IFERROR(RANK(Valor_normalizado!C80,Valor_normalizado!C$66:C$97,0),"NA"))</f>
        <v>32</v>
      </c>
      <c r="D80" s="66">
        <f>IF(Valor_normalizado!D80=0,32,IFERROR(RANK(Valor_normalizado!D80,Valor_normalizado!D$66:D$97,0),"NA"))</f>
        <v>28</v>
      </c>
      <c r="E80" s="66">
        <f>IF(Valor_normalizado!E80=0,32,IFERROR(RANK(Valor_normalizado!E80,Valor_normalizado!E$66:E$97,0),"NA"))</f>
        <v>24</v>
      </c>
      <c r="F80" s="66">
        <f>IF(Valor_normalizado!F80=0,32,IFERROR(RANK(Valor_normalizado!F80,Valor_normalizado!F$66:F$97,0),"NA"))</f>
        <v>32</v>
      </c>
      <c r="G80" s="66">
        <f>IF(Valor_normalizado!G80=0,32,IFERROR(RANK(Valor_normalizado!G80,Valor_normalizado!G$66:G$97,0),"NA"))</f>
        <v>31</v>
      </c>
      <c r="H80" s="66">
        <f>IF(Valor_normalizado!H80=0,32,IFERROR(RANK(Valor_normalizado!H80,Valor_normalizado!H$66:H$97,0),"NA"))</f>
        <v>32</v>
      </c>
      <c r="I80" s="66">
        <f>IF(Valor_normalizado!I80=0,32,IFERROR(RANK(Valor_normalizado!I80,Valor_normalizado!I$66:I$97,0),"NA"))</f>
        <v>32</v>
      </c>
      <c r="J80" s="66">
        <f>IF(Valor_normalizado!J80=0,32,IFERROR(RANK(Valor_normalizado!J80,Valor_normalizado!J$66:J$97,0),"NA"))</f>
        <v>32</v>
      </c>
      <c r="K80" s="66">
        <f>IF(Valor_normalizado!K80=0,32,IFERROR(RANK(Valor_normalizado!K80,Valor_normalizado!K$66:K$97,0),"NA"))</f>
        <v>32</v>
      </c>
      <c r="L80" s="66">
        <f>IF(Valor_normalizado!L80=0,32,IFERROR(RANK(Valor_normalizado!L80,Valor_normalizado!L$66:L$97,0),"NA"))</f>
        <v>32</v>
      </c>
      <c r="M80" s="66">
        <f>IF(Valor_normalizado!M80=0,32,IFERROR(RANK(Valor_normalizado!M80,Valor_normalizado!M$66:M$97,0),"NA"))</f>
        <v>32</v>
      </c>
      <c r="N80" s="66">
        <f>IF(Valor_normalizado!N80=0,32,IFERROR(RANK(Valor_normalizado!N80,Valor_normalizado!N$66:N$97,0),"NA"))</f>
        <v>32</v>
      </c>
      <c r="O80" s="66">
        <f>IF(Valor_normalizado!O80=0,32,IFERROR(RANK(Valor_normalizado!O80,Valor_normalizado!O$66:O$97,0),"NA"))</f>
        <v>32</v>
      </c>
      <c r="P80" s="66">
        <f>IF(Valor_normalizado!P80=0,32,IFERROR(RANK(Valor_normalizado!P80,Valor_normalizado!P$66:P$97,0),"NA"))</f>
        <v>32</v>
      </c>
      <c r="Q80" s="66">
        <f>IF(Valor_normalizado!Q80=0,32,IFERROR(RANK(Valor_normalizado!Q80,Valor_normalizado!Q$66:Q$97,0),"NA"))</f>
        <v>32</v>
      </c>
      <c r="R80" s="66">
        <f>IF(Valor_normalizado!R80=0,32,IFERROR(RANK(Valor_normalizado!R80,Valor_normalizado!R$66:R$97,0),"NA"))</f>
        <v>32</v>
      </c>
      <c r="S80" s="66">
        <f>IF(Valor_normalizado!S80=0,32,IFERROR(RANK(Valor_normalizado!S80,Valor_normalizado!S$66:S$97,0),"NA"))</f>
        <v>32</v>
      </c>
      <c r="T80" s="66">
        <f>IF(Valor_normalizado!T80=0,32,IFERROR(RANK(Valor_normalizado!T80,Valor_normalizado!T$66:T$97,0),"NA"))</f>
        <v>32</v>
      </c>
      <c r="U80" s="66">
        <f>IF(Valor_normalizado!U80=0,32,IFERROR(RANK(Valor_normalizado!U80,Valor_normalizado!U$66:U$97,0),"NA"))</f>
        <v>32</v>
      </c>
      <c r="V80" s="66">
        <f>IF(Valor_normalizado!V80=0,32,IFERROR(RANK(Valor_normalizado!V80,Valor_normalizado!V$66:V$97,0),"NA"))</f>
        <v>32</v>
      </c>
      <c r="W80" s="66">
        <f>IF(Valor_normalizado!W80=0,32,IFERROR(RANK(Valor_normalizado!W80,Valor_normalizado!W$66:W$97,0),"NA"))</f>
        <v>32</v>
      </c>
      <c r="X80" s="66">
        <f>IF(Valor_normalizado!X80=0,32,IFERROR(RANK(Valor_normalizado!X80,Valor_normalizado!X$66:X$97,0),"NA"))</f>
        <v>32</v>
      </c>
      <c r="Y80" s="66">
        <f>IF(Valor_normalizado!Y80=0,32,IFERROR(RANK(Valor_normalizado!Y80,Valor_normalizado!Y$66:Y$97,0),"NA"))</f>
        <v>32</v>
      </c>
    </row>
    <row r="81" ht="14.25" hidden="1" customHeight="1">
      <c r="A81" s="51" t="s">
        <v>331</v>
      </c>
      <c r="B81" s="23">
        <v>2021.0</v>
      </c>
      <c r="C81" s="66">
        <f>IF(Valor_normalizado!C81=0,32,IFERROR(RANK(Valor_normalizado!C81,Valor_normalizado!C$66:C$97,0),"NA"))</f>
        <v>27</v>
      </c>
      <c r="D81" s="66">
        <f>IF(Valor_normalizado!D81=0,32,IFERROR(RANK(Valor_normalizado!D81,Valor_normalizado!D$66:D$97,0),"NA"))</f>
        <v>26</v>
      </c>
      <c r="E81" s="66">
        <f>IF(Valor_normalizado!E81=0,32,IFERROR(RANK(Valor_normalizado!E81,Valor_normalizado!E$66:E$97,0),"NA"))</f>
        <v>21</v>
      </c>
      <c r="F81" s="66">
        <f>IF(Valor_normalizado!F81=0,32,IFERROR(RANK(Valor_normalizado!F81,Valor_normalizado!F$66:F$97,0),"NA"))</f>
        <v>27</v>
      </c>
      <c r="G81" s="66">
        <f>IF(Valor_normalizado!G81=0,32,IFERROR(RANK(Valor_normalizado!G81,Valor_normalizado!G$66:G$97,0),"NA"))</f>
        <v>28</v>
      </c>
      <c r="H81" s="66">
        <f>IF(Valor_normalizado!H81=0,32,IFERROR(RANK(Valor_normalizado!H81,Valor_normalizado!H$66:H$97,0),"NA"))</f>
        <v>27</v>
      </c>
      <c r="I81" s="66">
        <f>IF(Valor_normalizado!I81=0,32,IFERROR(RANK(Valor_normalizado!I81,Valor_normalizado!I$66:I$97,0),"NA"))</f>
        <v>12</v>
      </c>
      <c r="J81" s="66">
        <f>IF(Valor_normalizado!J81=0,32,IFERROR(RANK(Valor_normalizado!J81,Valor_normalizado!J$66:J$97,0),"NA"))</f>
        <v>30</v>
      </c>
      <c r="K81" s="66">
        <f>IF(Valor_normalizado!K81=0,32,IFERROR(RANK(Valor_normalizado!K81,Valor_normalizado!K$66:K$97,0),"NA"))</f>
        <v>28</v>
      </c>
      <c r="L81" s="66">
        <f>IF(Valor_normalizado!L81=0,32,IFERROR(RANK(Valor_normalizado!L81,Valor_normalizado!L$66:L$97,0),"NA"))</f>
        <v>28</v>
      </c>
      <c r="M81" s="66">
        <f>IF(Valor_normalizado!M81=0,32,IFERROR(RANK(Valor_normalizado!M81,Valor_normalizado!M$66:M$97,0),"NA"))</f>
        <v>32</v>
      </c>
      <c r="N81" s="66">
        <f>IF(Valor_normalizado!N81=0,32,IFERROR(RANK(Valor_normalizado!N81,Valor_normalizado!N$66:N$97,0),"NA"))</f>
        <v>32</v>
      </c>
      <c r="O81" s="66">
        <f>IF(Valor_normalizado!O81=0,32,IFERROR(RANK(Valor_normalizado!O81,Valor_normalizado!O$66:O$97,0),"NA"))</f>
        <v>32</v>
      </c>
      <c r="P81" s="66">
        <f>IF(Valor_normalizado!P81=0,32,IFERROR(RANK(Valor_normalizado!P81,Valor_normalizado!P$66:P$97,0),"NA"))</f>
        <v>32</v>
      </c>
      <c r="Q81" s="66">
        <f>IF(Valor_normalizado!Q81=0,32,IFERROR(RANK(Valor_normalizado!Q81,Valor_normalizado!Q$66:Q$97,0),"NA"))</f>
        <v>32</v>
      </c>
      <c r="R81" s="66">
        <f>IF(Valor_normalizado!R81=0,32,IFERROR(RANK(Valor_normalizado!R81,Valor_normalizado!R$66:R$97,0),"NA"))</f>
        <v>32</v>
      </c>
      <c r="S81" s="66">
        <f>IF(Valor_normalizado!S81=0,32,IFERROR(RANK(Valor_normalizado!S81,Valor_normalizado!S$66:S$97,0),"NA"))</f>
        <v>32</v>
      </c>
      <c r="T81" s="66">
        <f>IF(Valor_normalizado!T81=0,32,IFERROR(RANK(Valor_normalizado!T81,Valor_normalizado!T$66:T$97,0),"NA"))</f>
        <v>32</v>
      </c>
      <c r="U81" s="66">
        <f>IF(Valor_normalizado!U81=0,32,IFERROR(RANK(Valor_normalizado!U81,Valor_normalizado!U$66:U$97,0),"NA"))</f>
        <v>32</v>
      </c>
      <c r="V81" s="66">
        <f>IF(Valor_normalizado!V81=0,32,IFERROR(RANK(Valor_normalizado!V81,Valor_normalizado!V$66:V$97,0),"NA"))</f>
        <v>24</v>
      </c>
      <c r="W81" s="66">
        <f>IF(Valor_normalizado!W81=0,32,IFERROR(RANK(Valor_normalizado!W81,Valor_normalizado!W$66:W$97,0),"NA"))</f>
        <v>26</v>
      </c>
      <c r="X81" s="66">
        <f>IF(Valor_normalizado!X81=0,32,IFERROR(RANK(Valor_normalizado!X81,Valor_normalizado!X$66:X$97,0),"NA"))</f>
        <v>29</v>
      </c>
      <c r="Y81" s="66">
        <f>IF(Valor_normalizado!Y81=0,32,IFERROR(RANK(Valor_normalizado!Y81,Valor_normalizado!Y$66:Y$97,0),"NA"))</f>
        <v>24</v>
      </c>
    </row>
    <row r="82" ht="14.25" hidden="1" customHeight="1">
      <c r="A82" s="49" t="s">
        <v>328</v>
      </c>
      <c r="B82" s="23">
        <v>2021.0</v>
      </c>
      <c r="C82" s="66">
        <f>IF(Valor_normalizado!C82=0,32,IFERROR(RANK(Valor_normalizado!C82,Valor_normalizado!C$66:C$97,0),"NA"))</f>
        <v>23</v>
      </c>
      <c r="D82" s="66">
        <f>IF(Valor_normalizado!D82=0,32,IFERROR(RANK(Valor_normalizado!D82,Valor_normalizado!D$66:D$97,0),"NA"))</f>
        <v>11</v>
      </c>
      <c r="E82" s="66">
        <f>IF(Valor_normalizado!E82=0,32,IFERROR(RANK(Valor_normalizado!E82,Valor_normalizado!E$66:E$97,0),"NA"))</f>
        <v>25</v>
      </c>
      <c r="F82" s="66">
        <f>IF(Valor_normalizado!F82=0,32,IFERROR(RANK(Valor_normalizado!F82,Valor_normalizado!F$66:F$97,0),"NA"))</f>
        <v>25</v>
      </c>
      <c r="G82" s="66">
        <f>IF(Valor_normalizado!G82=0,32,IFERROR(RANK(Valor_normalizado!G82,Valor_normalizado!G$66:G$97,0),"NA"))</f>
        <v>22</v>
      </c>
      <c r="H82" s="66">
        <f>IF(Valor_normalizado!H82=0,32,IFERROR(RANK(Valor_normalizado!H82,Valor_normalizado!H$66:H$97,0),"NA"))</f>
        <v>13</v>
      </c>
      <c r="I82" s="66">
        <f>IF(Valor_normalizado!I82=0,32,IFERROR(RANK(Valor_normalizado!I82,Valor_normalizado!I$66:I$97,0),"NA"))</f>
        <v>14</v>
      </c>
      <c r="J82" s="66">
        <f>IF(Valor_normalizado!J82=0,32,IFERROR(RANK(Valor_normalizado!J82,Valor_normalizado!J$66:J$97,0),"NA"))</f>
        <v>26</v>
      </c>
      <c r="K82" s="66">
        <f>IF(Valor_normalizado!K82=0,32,IFERROR(RANK(Valor_normalizado!K82,Valor_normalizado!K$66:K$97,0),"NA"))</f>
        <v>20</v>
      </c>
      <c r="L82" s="66">
        <f>IF(Valor_normalizado!L82=0,32,IFERROR(RANK(Valor_normalizado!L82,Valor_normalizado!L$66:L$97,0),"NA"))</f>
        <v>21</v>
      </c>
      <c r="M82" s="66">
        <f>IF(Valor_normalizado!M82=0,32,IFERROR(RANK(Valor_normalizado!M82,Valor_normalizado!M$66:M$97,0),"NA"))</f>
        <v>14</v>
      </c>
      <c r="N82" s="66">
        <f>IF(Valor_normalizado!N82=0,32,IFERROR(RANK(Valor_normalizado!N82,Valor_normalizado!N$66:N$97,0),"NA"))</f>
        <v>14</v>
      </c>
      <c r="O82" s="66">
        <f>IF(Valor_normalizado!O82=0,32,IFERROR(RANK(Valor_normalizado!O82,Valor_normalizado!O$66:O$97,0),"NA"))</f>
        <v>15</v>
      </c>
      <c r="P82" s="66">
        <f>IF(Valor_normalizado!P82=0,32,IFERROR(RANK(Valor_normalizado!P82,Valor_normalizado!P$66:P$97,0),"NA"))</f>
        <v>9</v>
      </c>
      <c r="Q82" s="66">
        <f>IF(Valor_normalizado!Q82=0,32,IFERROR(RANK(Valor_normalizado!Q82,Valor_normalizado!Q$66:Q$97,0),"NA"))</f>
        <v>11</v>
      </c>
      <c r="R82" s="66">
        <f>IF(Valor_normalizado!R82=0,32,IFERROR(RANK(Valor_normalizado!R82,Valor_normalizado!R$66:R$97,0),"NA"))</f>
        <v>13</v>
      </c>
      <c r="S82" s="66">
        <f>IF(Valor_normalizado!S82=0,32,IFERROR(RANK(Valor_normalizado!S82,Valor_normalizado!S$66:S$97,0),"NA"))</f>
        <v>17</v>
      </c>
      <c r="T82" s="66">
        <f>IF(Valor_normalizado!T82=0,32,IFERROR(RANK(Valor_normalizado!T82,Valor_normalizado!T$66:T$97,0),"NA"))</f>
        <v>32</v>
      </c>
      <c r="U82" s="66">
        <f>IF(Valor_normalizado!U82=0,32,IFERROR(RANK(Valor_normalizado!U82,Valor_normalizado!U$66:U$97,0),"NA"))</f>
        <v>32</v>
      </c>
      <c r="V82" s="66">
        <f>IF(Valor_normalizado!V82=0,32,IFERROR(RANK(Valor_normalizado!V82,Valor_normalizado!V$66:V$97,0),"NA"))</f>
        <v>22</v>
      </c>
      <c r="W82" s="66">
        <f>IF(Valor_normalizado!W82=0,32,IFERROR(RANK(Valor_normalizado!W82,Valor_normalizado!W$66:W$97,0),"NA"))</f>
        <v>21</v>
      </c>
      <c r="X82" s="66">
        <f>IF(Valor_normalizado!X82=0,32,IFERROR(RANK(Valor_normalizado!X82,Valor_normalizado!X$66:X$97,0),"NA"))</f>
        <v>19</v>
      </c>
      <c r="Y82" s="66">
        <f>IF(Valor_normalizado!Y82=0,32,IFERROR(RANK(Valor_normalizado!Y82,Valor_normalizado!Y$66:Y$97,0),"NA"))</f>
        <v>18</v>
      </c>
    </row>
    <row r="83" ht="14.25" hidden="1" customHeight="1">
      <c r="A83" s="51" t="s">
        <v>312</v>
      </c>
      <c r="B83" s="23">
        <v>2021.0</v>
      </c>
      <c r="C83" s="66">
        <f>IF(Valor_normalizado!C83=0,32,IFERROR(RANK(Valor_normalizado!C83,Valor_normalizado!C$66:C$97,0),"NA"))</f>
        <v>6</v>
      </c>
      <c r="D83" s="66">
        <f>IF(Valor_normalizado!D83=0,32,IFERROR(RANK(Valor_normalizado!D83,Valor_normalizado!D$66:D$97,0),"NA"))</f>
        <v>18</v>
      </c>
      <c r="E83" s="66">
        <f>IF(Valor_normalizado!E83=0,32,IFERROR(RANK(Valor_normalizado!E83,Valor_normalizado!E$66:E$97,0),"NA"))</f>
        <v>15</v>
      </c>
      <c r="F83" s="66">
        <f>IF(Valor_normalizado!F83=0,32,IFERROR(RANK(Valor_normalizado!F83,Valor_normalizado!F$66:F$97,0),"NA"))</f>
        <v>13</v>
      </c>
      <c r="G83" s="66">
        <f>IF(Valor_normalizado!G83=0,32,IFERROR(RANK(Valor_normalizado!G83,Valor_normalizado!G$66:G$97,0),"NA"))</f>
        <v>11</v>
      </c>
      <c r="H83" s="66">
        <f>IF(Valor_normalizado!H83=0,32,IFERROR(RANK(Valor_normalizado!H83,Valor_normalizado!H$66:H$97,0),"NA"))</f>
        <v>12</v>
      </c>
      <c r="I83" s="66">
        <f>IF(Valor_normalizado!I83=0,32,IFERROR(RANK(Valor_normalizado!I83,Valor_normalizado!I$66:I$97,0),"NA"))</f>
        <v>9</v>
      </c>
      <c r="J83" s="66">
        <f>IF(Valor_normalizado!J83=0,32,IFERROR(RANK(Valor_normalizado!J83,Valor_normalizado!J$66:J$97,0),"NA"))</f>
        <v>24</v>
      </c>
      <c r="K83" s="66">
        <f>IF(Valor_normalizado!K83=0,32,IFERROR(RANK(Valor_normalizado!K83,Valor_normalizado!K$66:K$97,0),"NA"))</f>
        <v>14</v>
      </c>
      <c r="L83" s="66">
        <f>IF(Valor_normalizado!L83=0,32,IFERROR(RANK(Valor_normalizado!L83,Valor_normalizado!L$66:L$97,0),"NA"))</f>
        <v>13</v>
      </c>
      <c r="M83" s="66">
        <f>IF(Valor_normalizado!M83=0,32,IFERROR(RANK(Valor_normalizado!M83,Valor_normalizado!M$66:M$97,0),"NA"))</f>
        <v>16</v>
      </c>
      <c r="N83" s="66">
        <f>IF(Valor_normalizado!N83=0,32,IFERROR(RANK(Valor_normalizado!N83,Valor_normalizado!N$66:N$97,0),"NA"))</f>
        <v>32</v>
      </c>
      <c r="O83" s="66">
        <f>IF(Valor_normalizado!O83=0,32,IFERROR(RANK(Valor_normalizado!O83,Valor_normalizado!O$66:O$97,0),"NA"))</f>
        <v>19</v>
      </c>
      <c r="P83" s="66">
        <f>IF(Valor_normalizado!P83=0,32,IFERROR(RANK(Valor_normalizado!P83,Valor_normalizado!P$66:P$97,0),"NA"))</f>
        <v>5</v>
      </c>
      <c r="Q83" s="66">
        <f>IF(Valor_normalizado!Q83=0,32,IFERROR(RANK(Valor_normalizado!Q83,Valor_normalizado!Q$66:Q$97,0),"NA"))</f>
        <v>7</v>
      </c>
      <c r="R83" s="66">
        <f>IF(Valor_normalizado!R83=0,32,IFERROR(RANK(Valor_normalizado!R83,Valor_normalizado!R$66:R$97,0),"NA"))</f>
        <v>16</v>
      </c>
      <c r="S83" s="66">
        <f>IF(Valor_normalizado!S83=0,32,IFERROR(RANK(Valor_normalizado!S83,Valor_normalizado!S$66:S$97,0),"NA"))</f>
        <v>6</v>
      </c>
      <c r="T83" s="66">
        <f>IF(Valor_normalizado!T83=0,32,IFERROR(RANK(Valor_normalizado!T83,Valor_normalizado!T$66:T$97,0),"NA"))</f>
        <v>15</v>
      </c>
      <c r="U83" s="66">
        <f>IF(Valor_normalizado!U83=0,32,IFERROR(RANK(Valor_normalizado!U83,Valor_normalizado!U$66:U$97,0),"NA"))</f>
        <v>15</v>
      </c>
      <c r="V83" s="66">
        <f>IF(Valor_normalizado!V83=0,32,IFERROR(RANK(Valor_normalizado!V83,Valor_normalizado!V$66:V$97,0),"NA"))</f>
        <v>14</v>
      </c>
      <c r="W83" s="66">
        <f>IF(Valor_normalizado!W83=0,32,IFERROR(RANK(Valor_normalizado!W83,Valor_normalizado!W$66:W$97,0),"NA"))</f>
        <v>10</v>
      </c>
      <c r="X83" s="66">
        <f>IF(Valor_normalizado!X83=0,32,IFERROR(RANK(Valor_normalizado!X83,Valor_normalizado!X$66:X$97,0),"NA"))</f>
        <v>12</v>
      </c>
      <c r="Y83" s="66">
        <f>IF(Valor_normalizado!Y83=0,32,IFERROR(RANK(Valor_normalizado!Y83,Valor_normalizado!Y$66:Y$97,0),"NA"))</f>
        <v>13</v>
      </c>
    </row>
    <row r="84" ht="14.25" hidden="1" customHeight="1">
      <c r="A84" s="49" t="s">
        <v>314</v>
      </c>
      <c r="B84" s="23">
        <v>2021.0</v>
      </c>
      <c r="C84" s="66">
        <f>IF(Valor_normalizado!C84=0,32,IFERROR(RANK(Valor_normalizado!C84,Valor_normalizado!C$66:C$97,0),"NA"))</f>
        <v>11</v>
      </c>
      <c r="D84" s="66">
        <f>IF(Valor_normalizado!D84=0,32,IFERROR(RANK(Valor_normalizado!D84,Valor_normalizado!D$66:D$97,0),"NA"))</f>
        <v>14</v>
      </c>
      <c r="E84" s="66">
        <f>IF(Valor_normalizado!E84=0,32,IFERROR(RANK(Valor_normalizado!E84,Valor_normalizado!E$66:E$97,0),"NA"))</f>
        <v>12</v>
      </c>
      <c r="F84" s="66">
        <f>IF(Valor_normalizado!F84=0,32,IFERROR(RANK(Valor_normalizado!F84,Valor_normalizado!F$66:F$97,0),"NA"))</f>
        <v>17</v>
      </c>
      <c r="G84" s="66">
        <f>IF(Valor_normalizado!G84=0,32,IFERROR(RANK(Valor_normalizado!G84,Valor_normalizado!G$66:G$97,0),"NA"))</f>
        <v>15</v>
      </c>
      <c r="H84" s="66">
        <f>IF(Valor_normalizado!H84=0,32,IFERROR(RANK(Valor_normalizado!H84,Valor_normalizado!H$66:H$97,0),"NA"))</f>
        <v>10</v>
      </c>
      <c r="I84" s="66">
        <f>IF(Valor_normalizado!I84=0,32,IFERROR(RANK(Valor_normalizado!I84,Valor_normalizado!I$66:I$97,0),"NA"))</f>
        <v>13</v>
      </c>
      <c r="J84" s="66">
        <f>IF(Valor_normalizado!J84=0,32,IFERROR(RANK(Valor_normalizado!J84,Valor_normalizado!J$66:J$97,0),"NA"))</f>
        <v>17</v>
      </c>
      <c r="K84" s="66">
        <f>IF(Valor_normalizado!K84=0,32,IFERROR(RANK(Valor_normalizado!K84,Valor_normalizado!K$66:K$97,0),"NA"))</f>
        <v>11</v>
      </c>
      <c r="L84" s="66">
        <f>IF(Valor_normalizado!L84=0,32,IFERROR(RANK(Valor_normalizado!L84,Valor_normalizado!L$66:L$97,0),"NA"))</f>
        <v>12</v>
      </c>
      <c r="M84" s="66">
        <f>IF(Valor_normalizado!M84=0,32,IFERROR(RANK(Valor_normalizado!M84,Valor_normalizado!M$66:M$97,0),"NA"))</f>
        <v>18</v>
      </c>
      <c r="N84" s="66">
        <f>IF(Valor_normalizado!N84=0,32,IFERROR(RANK(Valor_normalizado!N84,Valor_normalizado!N$66:N$97,0),"NA"))</f>
        <v>7</v>
      </c>
      <c r="O84" s="66">
        <f>IF(Valor_normalizado!O84=0,32,IFERROR(RANK(Valor_normalizado!O84,Valor_normalizado!O$66:O$97,0),"NA"))</f>
        <v>8</v>
      </c>
      <c r="P84" s="66">
        <f>IF(Valor_normalizado!P84=0,32,IFERROR(RANK(Valor_normalizado!P84,Valor_normalizado!P$66:P$97,0),"NA"))</f>
        <v>18</v>
      </c>
      <c r="Q84" s="66">
        <f>IF(Valor_normalizado!Q84=0,32,IFERROR(RANK(Valor_normalizado!Q84,Valor_normalizado!Q$66:Q$97,0),"NA"))</f>
        <v>21</v>
      </c>
      <c r="R84" s="66">
        <f>IF(Valor_normalizado!R84=0,32,IFERROR(RANK(Valor_normalizado!R84,Valor_normalizado!R$66:R$97,0),"NA"))</f>
        <v>14</v>
      </c>
      <c r="S84" s="66">
        <f>IF(Valor_normalizado!S84=0,32,IFERROR(RANK(Valor_normalizado!S84,Valor_normalizado!S$66:S$97,0),"NA"))</f>
        <v>15</v>
      </c>
      <c r="T84" s="66">
        <f>IF(Valor_normalizado!T84=0,32,IFERROR(RANK(Valor_normalizado!T84,Valor_normalizado!T$66:T$97,0),"NA"))</f>
        <v>16</v>
      </c>
      <c r="U84" s="66">
        <f>IF(Valor_normalizado!U84=0,32,IFERROR(RANK(Valor_normalizado!U84,Valor_normalizado!U$66:U$97,0),"NA"))</f>
        <v>19</v>
      </c>
      <c r="V84" s="66">
        <f>IF(Valor_normalizado!V84=0,32,IFERROR(RANK(Valor_normalizado!V84,Valor_normalizado!V$66:V$97,0),"NA"))</f>
        <v>18</v>
      </c>
      <c r="W84" s="66">
        <f>IF(Valor_normalizado!W84=0,32,IFERROR(RANK(Valor_normalizado!W84,Valor_normalizado!W$66:W$97,0),"NA"))</f>
        <v>19</v>
      </c>
      <c r="X84" s="66">
        <f>IF(Valor_normalizado!X84=0,32,IFERROR(RANK(Valor_normalizado!X84,Valor_normalizado!X$66:X$97,0),"NA"))</f>
        <v>15</v>
      </c>
      <c r="Y84" s="66">
        <f>IF(Valor_normalizado!Y84=0,32,IFERROR(RANK(Valor_normalizado!Y84,Valor_normalizado!Y$66:Y$97,0),"NA"))</f>
        <v>14</v>
      </c>
    </row>
    <row r="85" ht="14.25" hidden="1" customHeight="1">
      <c r="A85" s="51" t="s">
        <v>309</v>
      </c>
      <c r="B85" s="23">
        <v>2021.0</v>
      </c>
      <c r="C85" s="66">
        <f>IF(Valor_normalizado!C85=0,32,IFERROR(RANK(Valor_normalizado!C85,Valor_normalizado!C$66:C$97,0),"NA"))</f>
        <v>3</v>
      </c>
      <c r="D85" s="66">
        <f>IF(Valor_normalizado!D85=0,32,IFERROR(RANK(Valor_normalizado!D85,Valor_normalizado!D$66:D$97,0),"NA"))</f>
        <v>16</v>
      </c>
      <c r="E85" s="66">
        <f>IF(Valor_normalizado!E85=0,32,IFERROR(RANK(Valor_normalizado!E85,Valor_normalizado!E$66:E$97,0),"NA"))</f>
        <v>2</v>
      </c>
      <c r="F85" s="66">
        <f>IF(Valor_normalizado!F85=0,32,IFERROR(RANK(Valor_normalizado!F85,Valor_normalizado!F$66:F$97,0),"NA"))</f>
        <v>2</v>
      </c>
      <c r="G85" s="66">
        <f>IF(Valor_normalizado!G85=0,32,IFERROR(RANK(Valor_normalizado!G85,Valor_normalizado!G$66:G$97,0),"NA"))</f>
        <v>2</v>
      </c>
      <c r="H85" s="66">
        <f>IF(Valor_normalizado!H85=0,32,IFERROR(RANK(Valor_normalizado!H85,Valor_normalizado!H$66:H$97,0),"NA"))</f>
        <v>3</v>
      </c>
      <c r="I85" s="66">
        <f>IF(Valor_normalizado!I85=0,32,IFERROR(RANK(Valor_normalizado!I85,Valor_normalizado!I$66:I$97,0),"NA"))</f>
        <v>3</v>
      </c>
      <c r="J85" s="66">
        <f>IF(Valor_normalizado!J85=0,32,IFERROR(RANK(Valor_normalizado!J85,Valor_normalizado!J$66:J$97,0),"NA"))</f>
        <v>9</v>
      </c>
      <c r="K85" s="66">
        <f>IF(Valor_normalizado!K85=0,32,IFERROR(RANK(Valor_normalizado!K85,Valor_normalizado!K$66:K$97,0),"NA"))</f>
        <v>4</v>
      </c>
      <c r="L85" s="66">
        <f>IF(Valor_normalizado!L85=0,32,IFERROR(RANK(Valor_normalizado!L85,Valor_normalizado!L$66:L$97,0),"NA"))</f>
        <v>3</v>
      </c>
      <c r="M85" s="66">
        <f>IF(Valor_normalizado!M85=0,32,IFERROR(RANK(Valor_normalizado!M85,Valor_normalizado!M$66:M$97,0),"NA"))</f>
        <v>7</v>
      </c>
      <c r="N85" s="66">
        <f>IF(Valor_normalizado!N85=0,32,IFERROR(RANK(Valor_normalizado!N85,Valor_normalizado!N$66:N$97,0),"NA"))</f>
        <v>13</v>
      </c>
      <c r="O85" s="66">
        <f>IF(Valor_normalizado!O85=0,32,IFERROR(RANK(Valor_normalizado!O85,Valor_normalizado!O$66:O$97,0),"NA"))</f>
        <v>14</v>
      </c>
      <c r="P85" s="66">
        <f>IF(Valor_normalizado!P85=0,32,IFERROR(RANK(Valor_normalizado!P85,Valor_normalizado!P$66:P$97,0),"NA"))</f>
        <v>12</v>
      </c>
      <c r="Q85" s="66">
        <f>IF(Valor_normalizado!Q85=0,32,IFERROR(RANK(Valor_normalizado!Q85,Valor_normalizado!Q$66:Q$97,0),"NA"))</f>
        <v>6</v>
      </c>
      <c r="R85" s="66">
        <f>IF(Valor_normalizado!R85=0,32,IFERROR(RANK(Valor_normalizado!R85,Valor_normalizado!R$66:R$97,0),"NA"))</f>
        <v>10</v>
      </c>
      <c r="S85" s="66">
        <f>IF(Valor_normalizado!S85=0,32,IFERROR(RANK(Valor_normalizado!S85,Valor_normalizado!S$66:S$97,0),"NA"))</f>
        <v>8</v>
      </c>
      <c r="T85" s="66">
        <f>IF(Valor_normalizado!T85=0,32,IFERROR(RANK(Valor_normalizado!T85,Valor_normalizado!T$66:T$97,0),"NA"))</f>
        <v>5</v>
      </c>
      <c r="U85" s="66">
        <f>IF(Valor_normalizado!U85=0,32,IFERROR(RANK(Valor_normalizado!U85,Valor_normalizado!U$66:U$97,0),"NA"))</f>
        <v>6</v>
      </c>
      <c r="V85" s="66">
        <f>IF(Valor_normalizado!V85=0,32,IFERROR(RANK(Valor_normalizado!V85,Valor_normalizado!V$66:V$97,0),"NA"))</f>
        <v>5</v>
      </c>
      <c r="W85" s="66">
        <f>IF(Valor_normalizado!W85=0,32,IFERROR(RANK(Valor_normalizado!W85,Valor_normalizado!W$66:W$97,0),"NA"))</f>
        <v>5</v>
      </c>
      <c r="X85" s="66">
        <f>IF(Valor_normalizado!X85=0,32,IFERROR(RANK(Valor_normalizado!X85,Valor_normalizado!X$66:X$97,0),"NA"))</f>
        <v>7</v>
      </c>
      <c r="Y85" s="66">
        <f>IF(Valor_normalizado!Y85=0,32,IFERROR(RANK(Valor_normalizado!Y85,Valor_normalizado!Y$66:Y$97,0),"NA"))</f>
        <v>6</v>
      </c>
    </row>
    <row r="86" ht="14.25" hidden="1" customHeight="1">
      <c r="A86" s="49" t="s">
        <v>316</v>
      </c>
      <c r="B86" s="23">
        <v>2021.0</v>
      </c>
      <c r="C86" s="66">
        <f>IF(Valor_normalizado!C86=0,32,IFERROR(RANK(Valor_normalizado!C86,Valor_normalizado!C$66:C$97,0),"NA"))</f>
        <v>14</v>
      </c>
      <c r="D86" s="66">
        <f>IF(Valor_normalizado!D86=0,32,IFERROR(RANK(Valor_normalizado!D86,Valor_normalizado!D$66:D$97,0),"NA"))</f>
        <v>17</v>
      </c>
      <c r="E86" s="66">
        <f>IF(Valor_normalizado!E86=0,32,IFERROR(RANK(Valor_normalizado!E86,Valor_normalizado!E$66:E$97,0),"NA"))</f>
        <v>9</v>
      </c>
      <c r="F86" s="66">
        <f>IF(Valor_normalizado!F86=0,32,IFERROR(RANK(Valor_normalizado!F86,Valor_normalizado!F$66:F$97,0),"NA"))</f>
        <v>16</v>
      </c>
      <c r="G86" s="66">
        <f>IF(Valor_normalizado!G86=0,32,IFERROR(RANK(Valor_normalizado!G86,Valor_normalizado!G$66:G$97,0),"NA"))</f>
        <v>14</v>
      </c>
      <c r="H86" s="66">
        <f>IF(Valor_normalizado!H86=0,32,IFERROR(RANK(Valor_normalizado!H86,Valor_normalizado!H$66:H$97,0),"NA"))</f>
        <v>2</v>
      </c>
      <c r="I86" s="66">
        <f>IF(Valor_normalizado!I86=0,32,IFERROR(RANK(Valor_normalizado!I86,Valor_normalizado!I$66:I$97,0),"NA"))</f>
        <v>8</v>
      </c>
      <c r="J86" s="66">
        <f>IF(Valor_normalizado!J86=0,32,IFERROR(RANK(Valor_normalizado!J86,Valor_normalizado!J$66:J$97,0),"NA"))</f>
        <v>12</v>
      </c>
      <c r="K86" s="66">
        <f>IF(Valor_normalizado!K86=0,32,IFERROR(RANK(Valor_normalizado!K86,Valor_normalizado!K$66:K$97,0),"NA"))</f>
        <v>5</v>
      </c>
      <c r="L86" s="66">
        <f>IF(Valor_normalizado!L86=0,32,IFERROR(RANK(Valor_normalizado!L86,Valor_normalizado!L$66:L$97,0),"NA"))</f>
        <v>7</v>
      </c>
      <c r="M86" s="66">
        <f>IF(Valor_normalizado!M86=0,32,IFERROR(RANK(Valor_normalizado!M86,Valor_normalizado!M$66:M$97,0),"NA"))</f>
        <v>6</v>
      </c>
      <c r="N86" s="66">
        <f>IF(Valor_normalizado!N86=0,32,IFERROR(RANK(Valor_normalizado!N86,Valor_normalizado!N$66:N$97,0),"NA"))</f>
        <v>10</v>
      </c>
      <c r="O86" s="66">
        <f>IF(Valor_normalizado!O86=0,32,IFERROR(RANK(Valor_normalizado!O86,Valor_normalizado!O$66:O$97,0),"NA"))</f>
        <v>5</v>
      </c>
      <c r="P86" s="66">
        <f>IF(Valor_normalizado!P86=0,32,IFERROR(RANK(Valor_normalizado!P86,Valor_normalizado!P$66:P$97,0),"NA"))</f>
        <v>8</v>
      </c>
      <c r="Q86" s="66">
        <f>IF(Valor_normalizado!Q86=0,32,IFERROR(RANK(Valor_normalizado!Q86,Valor_normalizado!Q$66:Q$97,0),"NA"))</f>
        <v>12</v>
      </c>
      <c r="R86" s="66">
        <f>IF(Valor_normalizado!R86=0,32,IFERROR(RANK(Valor_normalizado!R86,Valor_normalizado!R$66:R$97,0),"NA"))</f>
        <v>6</v>
      </c>
      <c r="S86" s="66">
        <f>IF(Valor_normalizado!S86=0,32,IFERROR(RANK(Valor_normalizado!S86,Valor_normalizado!S$66:S$97,0),"NA"))</f>
        <v>9</v>
      </c>
      <c r="T86" s="66">
        <f>IF(Valor_normalizado!T86=0,32,IFERROR(RANK(Valor_normalizado!T86,Valor_normalizado!T$66:T$97,0),"NA"))</f>
        <v>14</v>
      </c>
      <c r="U86" s="66">
        <f>IF(Valor_normalizado!U86=0,32,IFERROR(RANK(Valor_normalizado!U86,Valor_normalizado!U$66:U$97,0),"NA"))</f>
        <v>13</v>
      </c>
      <c r="V86" s="66">
        <f>IF(Valor_normalizado!V86=0,32,IFERROR(RANK(Valor_normalizado!V86,Valor_normalizado!V$66:V$97,0),"NA"))</f>
        <v>17</v>
      </c>
      <c r="W86" s="66">
        <f>IF(Valor_normalizado!W86=0,32,IFERROR(RANK(Valor_normalizado!W86,Valor_normalizado!W$66:W$97,0),"NA"))</f>
        <v>11</v>
      </c>
      <c r="X86" s="66">
        <f>IF(Valor_normalizado!X86=0,32,IFERROR(RANK(Valor_normalizado!X86,Valor_normalizado!X$66:X$97,0),"NA"))</f>
        <v>11</v>
      </c>
      <c r="Y86" s="66">
        <f>IF(Valor_normalizado!Y86=0,32,IFERROR(RANK(Valor_normalizado!Y86,Valor_normalizado!Y$66:Y$97,0),"NA"))</f>
        <v>9</v>
      </c>
    </row>
    <row r="87" ht="14.25" hidden="1" customHeight="1">
      <c r="A87" s="51" t="s">
        <v>333</v>
      </c>
      <c r="B87" s="23">
        <v>2021.0</v>
      </c>
      <c r="C87" s="66">
        <f>IF(Valor_normalizado!C87=0,32,IFERROR(RANK(Valor_normalizado!C87,Valor_normalizado!C$66:C$97,0),"NA"))</f>
        <v>26</v>
      </c>
      <c r="D87" s="66">
        <f>IF(Valor_normalizado!D87=0,32,IFERROR(RANK(Valor_normalizado!D87,Valor_normalizado!D$66:D$97,0),"NA"))</f>
        <v>32</v>
      </c>
      <c r="E87" s="66">
        <f>IF(Valor_normalizado!E87=0,32,IFERROR(RANK(Valor_normalizado!E87,Valor_normalizado!E$66:E$97,0),"NA"))</f>
        <v>28</v>
      </c>
      <c r="F87" s="66">
        <f>IF(Valor_normalizado!F87=0,32,IFERROR(RANK(Valor_normalizado!F87,Valor_normalizado!F$66:F$97,0),"NA"))</f>
        <v>29</v>
      </c>
      <c r="G87" s="66">
        <f>IF(Valor_normalizado!G87=0,32,IFERROR(RANK(Valor_normalizado!G87,Valor_normalizado!G$66:G$97,0),"NA"))</f>
        <v>29</v>
      </c>
      <c r="H87" s="66">
        <f>IF(Valor_normalizado!H87=0,32,IFERROR(RANK(Valor_normalizado!H87,Valor_normalizado!H$66:H$97,0),"NA"))</f>
        <v>30</v>
      </c>
      <c r="I87" s="66">
        <f>IF(Valor_normalizado!I87=0,32,IFERROR(RANK(Valor_normalizado!I87,Valor_normalizado!I$66:I$97,0),"NA"))</f>
        <v>26</v>
      </c>
      <c r="J87" s="66">
        <f>IF(Valor_normalizado!J87=0,32,IFERROR(RANK(Valor_normalizado!J87,Valor_normalizado!J$66:J$97,0),"NA"))</f>
        <v>26</v>
      </c>
      <c r="K87" s="66">
        <f>IF(Valor_normalizado!K87=0,32,IFERROR(RANK(Valor_normalizado!K87,Valor_normalizado!K$66:K$97,0),"NA"))</f>
        <v>29</v>
      </c>
      <c r="L87" s="66">
        <f>IF(Valor_normalizado!L87=0,32,IFERROR(RANK(Valor_normalizado!L87,Valor_normalizado!L$66:L$97,0),"NA"))</f>
        <v>30</v>
      </c>
      <c r="M87" s="66">
        <f>IF(Valor_normalizado!M87=0,32,IFERROR(RANK(Valor_normalizado!M87,Valor_normalizado!M$66:M$97,0),"NA"))</f>
        <v>32</v>
      </c>
      <c r="N87" s="66">
        <f>IF(Valor_normalizado!N87=0,32,IFERROR(RANK(Valor_normalizado!N87,Valor_normalizado!N$66:N$97,0),"NA"))</f>
        <v>32</v>
      </c>
      <c r="O87" s="66">
        <f>IF(Valor_normalizado!O87=0,32,IFERROR(RANK(Valor_normalizado!O87,Valor_normalizado!O$66:O$97,0),"NA"))</f>
        <v>28</v>
      </c>
      <c r="P87" s="66">
        <f>IF(Valor_normalizado!P87=0,32,IFERROR(RANK(Valor_normalizado!P87,Valor_normalizado!P$66:P$97,0),"NA"))</f>
        <v>32</v>
      </c>
      <c r="Q87" s="66">
        <f>IF(Valor_normalizado!Q87=0,32,IFERROR(RANK(Valor_normalizado!Q87,Valor_normalizado!Q$66:Q$97,0),"NA"))</f>
        <v>32</v>
      </c>
      <c r="R87" s="66">
        <f>IF(Valor_normalizado!R87=0,32,IFERROR(RANK(Valor_normalizado!R87,Valor_normalizado!R$66:R$97,0),"NA"))</f>
        <v>29</v>
      </c>
      <c r="S87" s="66">
        <f>IF(Valor_normalizado!S87=0,32,IFERROR(RANK(Valor_normalizado!S87,Valor_normalizado!S$66:S$97,0),"NA"))</f>
        <v>32</v>
      </c>
      <c r="T87" s="66">
        <f>IF(Valor_normalizado!T87=0,32,IFERROR(RANK(Valor_normalizado!T87,Valor_normalizado!T$66:T$97,0),"NA"))</f>
        <v>32</v>
      </c>
      <c r="U87" s="66">
        <f>IF(Valor_normalizado!U87=0,32,IFERROR(RANK(Valor_normalizado!U87,Valor_normalizado!U$66:U$97,0),"NA"))</f>
        <v>32</v>
      </c>
      <c r="V87" s="66">
        <f>IF(Valor_normalizado!V87=0,32,IFERROR(RANK(Valor_normalizado!V87,Valor_normalizado!V$66:V$97,0),"NA"))</f>
        <v>32</v>
      </c>
      <c r="W87" s="66">
        <f>IF(Valor_normalizado!W87=0,32,IFERROR(RANK(Valor_normalizado!W87,Valor_normalizado!W$66:W$97,0),"NA"))</f>
        <v>32</v>
      </c>
      <c r="X87" s="66">
        <f>IF(Valor_normalizado!X87=0,32,IFERROR(RANK(Valor_normalizado!X87,Valor_normalizado!X$66:X$97,0),"NA"))</f>
        <v>31</v>
      </c>
      <c r="Y87" s="66">
        <f>IF(Valor_normalizado!Y87=0,32,IFERROR(RANK(Valor_normalizado!Y87,Valor_normalizado!Y$66:Y$97,0),"NA"))</f>
        <v>30</v>
      </c>
    </row>
    <row r="88" ht="14.25" hidden="1" customHeight="1">
      <c r="A88" s="49" t="s">
        <v>325</v>
      </c>
      <c r="B88" s="23">
        <v>2021.0</v>
      </c>
      <c r="C88" s="66">
        <f>IF(Valor_normalizado!C88=0,32,IFERROR(RANK(Valor_normalizado!C88,Valor_normalizado!C$66:C$97,0),"NA"))</f>
        <v>22</v>
      </c>
      <c r="D88" s="66">
        <f>IF(Valor_normalizado!D88=0,32,IFERROR(RANK(Valor_normalizado!D88,Valor_normalizado!D$66:D$97,0),"NA"))</f>
        <v>27</v>
      </c>
      <c r="E88" s="66">
        <f>IF(Valor_normalizado!E88=0,32,IFERROR(RANK(Valor_normalizado!E88,Valor_normalizado!E$66:E$97,0),"NA"))</f>
        <v>27</v>
      </c>
      <c r="F88" s="66">
        <f>IF(Valor_normalizado!F88=0,32,IFERROR(RANK(Valor_normalizado!F88,Valor_normalizado!F$66:F$97,0),"NA"))</f>
        <v>26</v>
      </c>
      <c r="G88" s="66">
        <f>IF(Valor_normalizado!G88=0,32,IFERROR(RANK(Valor_normalizado!G88,Valor_normalizado!G$66:G$97,0),"NA"))</f>
        <v>26</v>
      </c>
      <c r="H88" s="66">
        <f>IF(Valor_normalizado!H88=0,32,IFERROR(RANK(Valor_normalizado!H88,Valor_normalizado!H$66:H$97,0),"NA"))</f>
        <v>22</v>
      </c>
      <c r="I88" s="66">
        <f>IF(Valor_normalizado!I88=0,32,IFERROR(RANK(Valor_normalizado!I88,Valor_normalizado!I$66:I$97,0),"NA"))</f>
        <v>28</v>
      </c>
      <c r="J88" s="66">
        <f>IF(Valor_normalizado!J88=0,32,IFERROR(RANK(Valor_normalizado!J88,Valor_normalizado!J$66:J$97,0),"NA"))</f>
        <v>22</v>
      </c>
      <c r="K88" s="66">
        <f>IF(Valor_normalizado!K88=0,32,IFERROR(RANK(Valor_normalizado!K88,Valor_normalizado!K$66:K$97,0),"NA"))</f>
        <v>24</v>
      </c>
      <c r="L88" s="66">
        <f>IF(Valor_normalizado!L88=0,32,IFERROR(RANK(Valor_normalizado!L88,Valor_normalizado!L$66:L$97,0),"NA"))</f>
        <v>25</v>
      </c>
      <c r="M88" s="66">
        <f>IF(Valor_normalizado!M88=0,32,IFERROR(RANK(Valor_normalizado!M88,Valor_normalizado!M$66:M$97,0),"NA"))</f>
        <v>23</v>
      </c>
      <c r="N88" s="66">
        <f>IF(Valor_normalizado!N88=0,32,IFERROR(RANK(Valor_normalizado!N88,Valor_normalizado!N$66:N$97,0),"NA"))</f>
        <v>32</v>
      </c>
      <c r="O88" s="66">
        <f>IF(Valor_normalizado!O88=0,32,IFERROR(RANK(Valor_normalizado!O88,Valor_normalizado!O$66:O$97,0),"NA"))</f>
        <v>20</v>
      </c>
      <c r="P88" s="66">
        <f>IF(Valor_normalizado!P88=0,32,IFERROR(RANK(Valor_normalizado!P88,Valor_normalizado!P$66:P$97,0),"NA"))</f>
        <v>32</v>
      </c>
      <c r="Q88" s="66">
        <f>IF(Valor_normalizado!Q88=0,32,IFERROR(RANK(Valor_normalizado!Q88,Valor_normalizado!Q$66:Q$97,0),"NA"))</f>
        <v>2</v>
      </c>
      <c r="R88" s="66">
        <f>IF(Valor_normalizado!R88=0,32,IFERROR(RANK(Valor_normalizado!R88,Valor_normalizado!R$66:R$97,0),"NA"))</f>
        <v>21</v>
      </c>
      <c r="S88" s="66">
        <f>IF(Valor_normalizado!S88=0,32,IFERROR(RANK(Valor_normalizado!S88,Valor_normalizado!S$66:S$97,0),"NA"))</f>
        <v>32</v>
      </c>
      <c r="T88" s="66">
        <f>IF(Valor_normalizado!T88=0,32,IFERROR(RANK(Valor_normalizado!T88,Valor_normalizado!T$66:T$97,0),"NA"))</f>
        <v>32</v>
      </c>
      <c r="U88" s="66">
        <f>IF(Valor_normalizado!U88=0,32,IFERROR(RANK(Valor_normalizado!U88,Valor_normalizado!U$66:U$97,0),"NA"))</f>
        <v>32</v>
      </c>
      <c r="V88" s="66">
        <f>IF(Valor_normalizado!V88=0,32,IFERROR(RANK(Valor_normalizado!V88,Valor_normalizado!V$66:V$97,0),"NA"))</f>
        <v>21</v>
      </c>
      <c r="W88" s="66">
        <f>IF(Valor_normalizado!W88=0,32,IFERROR(RANK(Valor_normalizado!W88,Valor_normalizado!W$66:W$97,0),"NA"))</f>
        <v>24</v>
      </c>
      <c r="X88" s="66">
        <f>IF(Valor_normalizado!X88=0,32,IFERROR(RANK(Valor_normalizado!X88,Valor_normalizado!X$66:X$97,0),"NA"))</f>
        <v>22</v>
      </c>
      <c r="Y88" s="66">
        <f>IF(Valor_normalizado!Y88=0,32,IFERROR(RANK(Valor_normalizado!Y88,Valor_normalizado!Y$66:Y$97,0),"NA"))</f>
        <v>26</v>
      </c>
    </row>
    <row r="89" ht="14.25" hidden="1" customHeight="1">
      <c r="A89" s="51" t="s">
        <v>326</v>
      </c>
      <c r="B89" s="23">
        <v>2021.0</v>
      </c>
      <c r="C89" s="66">
        <f>IF(Valor_normalizado!C89=0,32,IFERROR(RANK(Valor_normalizado!C89,Valor_normalizado!C$66:C$97,0),"NA"))</f>
        <v>24</v>
      </c>
      <c r="D89" s="66">
        <f>IF(Valor_normalizado!D89=0,32,IFERROR(RANK(Valor_normalizado!D89,Valor_normalizado!D$66:D$97,0),"NA"))</f>
        <v>22</v>
      </c>
      <c r="E89" s="66">
        <f>IF(Valor_normalizado!E89=0,32,IFERROR(RANK(Valor_normalizado!E89,Valor_normalizado!E$66:E$97,0),"NA"))</f>
        <v>31</v>
      </c>
      <c r="F89" s="66">
        <f>IF(Valor_normalizado!F89=0,32,IFERROR(RANK(Valor_normalizado!F89,Valor_normalizado!F$66:F$97,0),"NA"))</f>
        <v>24</v>
      </c>
      <c r="G89" s="66">
        <f>IF(Valor_normalizado!G89=0,32,IFERROR(RANK(Valor_normalizado!G89,Valor_normalizado!G$66:G$97,0),"NA"))</f>
        <v>25</v>
      </c>
      <c r="H89" s="66">
        <f>IF(Valor_normalizado!H89=0,32,IFERROR(RANK(Valor_normalizado!H89,Valor_normalizado!H$66:H$97,0),"NA"))</f>
        <v>26</v>
      </c>
      <c r="I89" s="66">
        <f>IF(Valor_normalizado!I89=0,32,IFERROR(RANK(Valor_normalizado!I89,Valor_normalizado!I$66:I$97,0),"NA"))</f>
        <v>24</v>
      </c>
      <c r="J89" s="66">
        <f>IF(Valor_normalizado!J89=0,32,IFERROR(RANK(Valor_normalizado!J89,Valor_normalizado!J$66:J$97,0),"NA"))</f>
        <v>21</v>
      </c>
      <c r="K89" s="66">
        <f>IF(Valor_normalizado!K89=0,32,IFERROR(RANK(Valor_normalizado!K89,Valor_normalizado!K$66:K$97,0),"NA"))</f>
        <v>26</v>
      </c>
      <c r="L89" s="66">
        <f>IF(Valor_normalizado!L89=0,32,IFERROR(RANK(Valor_normalizado!L89,Valor_normalizado!L$66:L$97,0),"NA"))</f>
        <v>26</v>
      </c>
      <c r="M89" s="66">
        <f>IF(Valor_normalizado!M89=0,32,IFERROR(RANK(Valor_normalizado!M89,Valor_normalizado!M$66:M$97,0),"NA"))</f>
        <v>11</v>
      </c>
      <c r="N89" s="66">
        <f>IF(Valor_normalizado!N89=0,32,IFERROR(RANK(Valor_normalizado!N89,Valor_normalizado!N$66:N$97,0),"NA"))</f>
        <v>32</v>
      </c>
      <c r="O89" s="66">
        <f>IF(Valor_normalizado!O89=0,32,IFERROR(RANK(Valor_normalizado!O89,Valor_normalizado!O$66:O$97,0),"NA"))</f>
        <v>9</v>
      </c>
      <c r="P89" s="66">
        <f>IF(Valor_normalizado!P89=0,32,IFERROR(RANK(Valor_normalizado!P89,Valor_normalizado!P$66:P$97,0),"NA"))</f>
        <v>20</v>
      </c>
      <c r="Q89" s="66">
        <f>IF(Valor_normalizado!Q89=0,32,IFERROR(RANK(Valor_normalizado!Q89,Valor_normalizado!Q$66:Q$97,0),"NA"))</f>
        <v>19</v>
      </c>
      <c r="R89" s="66">
        <f>IF(Valor_normalizado!R89=0,32,IFERROR(RANK(Valor_normalizado!R89,Valor_normalizado!R$66:R$97,0),"NA"))</f>
        <v>19</v>
      </c>
      <c r="S89" s="66">
        <f>IF(Valor_normalizado!S89=0,32,IFERROR(RANK(Valor_normalizado!S89,Valor_normalizado!S$66:S$97,0),"NA"))</f>
        <v>16</v>
      </c>
      <c r="T89" s="66">
        <f>IF(Valor_normalizado!T89=0,32,IFERROR(RANK(Valor_normalizado!T89,Valor_normalizado!T$66:T$97,0),"NA"))</f>
        <v>6</v>
      </c>
      <c r="U89" s="66">
        <f>IF(Valor_normalizado!U89=0,32,IFERROR(RANK(Valor_normalizado!U89,Valor_normalizado!U$66:U$97,0),"NA"))</f>
        <v>12</v>
      </c>
      <c r="V89" s="66">
        <f>IF(Valor_normalizado!V89=0,32,IFERROR(RANK(Valor_normalizado!V89,Valor_normalizado!V$66:V$97,0),"NA"))</f>
        <v>25</v>
      </c>
      <c r="W89" s="66">
        <f>IF(Valor_normalizado!W89=0,32,IFERROR(RANK(Valor_normalizado!W89,Valor_normalizado!W$66:W$97,0),"NA"))</f>
        <v>13</v>
      </c>
      <c r="X89" s="66">
        <f>IF(Valor_normalizado!X89=0,32,IFERROR(RANK(Valor_normalizado!X89,Valor_normalizado!X$66:X$97,0),"NA"))</f>
        <v>14</v>
      </c>
      <c r="Y89" s="66">
        <f>IF(Valor_normalizado!Y89=0,32,IFERROR(RANK(Valor_normalizado!Y89,Valor_normalizado!Y$66:Y$97,0),"NA"))</f>
        <v>25</v>
      </c>
    </row>
    <row r="90" ht="14.25" hidden="1" customHeight="1">
      <c r="A90" s="49" t="s">
        <v>330</v>
      </c>
      <c r="B90" s="23">
        <v>2021.0</v>
      </c>
      <c r="C90" s="66">
        <f>IF(Valor_normalizado!C90=0,32,IFERROR(RANK(Valor_normalizado!C90,Valor_normalizado!C$66:C$97,0),"NA"))</f>
        <v>28</v>
      </c>
      <c r="D90" s="66">
        <f>IF(Valor_normalizado!D90=0,32,IFERROR(RANK(Valor_normalizado!D90,Valor_normalizado!D$66:D$97,0),"NA"))</f>
        <v>30</v>
      </c>
      <c r="E90" s="66">
        <f>IF(Valor_normalizado!E90=0,32,IFERROR(RANK(Valor_normalizado!E90,Valor_normalizado!E$66:E$97,0),"NA"))</f>
        <v>18</v>
      </c>
      <c r="F90" s="66">
        <f>IF(Valor_normalizado!F90=0,32,IFERROR(RANK(Valor_normalizado!F90,Valor_normalizado!F$66:F$97,0),"NA"))</f>
        <v>9</v>
      </c>
      <c r="G90" s="66">
        <f>IF(Valor_normalizado!G90=0,32,IFERROR(RANK(Valor_normalizado!G90,Valor_normalizado!G$66:G$97,0),"NA"))</f>
        <v>21</v>
      </c>
      <c r="H90" s="66">
        <f>IF(Valor_normalizado!H90=0,32,IFERROR(RANK(Valor_normalizado!H90,Valor_normalizado!H$66:H$97,0),"NA"))</f>
        <v>11</v>
      </c>
      <c r="I90" s="66">
        <f>IF(Valor_normalizado!I90=0,32,IFERROR(RANK(Valor_normalizado!I90,Valor_normalizado!I$66:I$97,0),"NA"))</f>
        <v>21</v>
      </c>
      <c r="J90" s="66">
        <f>IF(Valor_normalizado!J90=0,32,IFERROR(RANK(Valor_normalizado!J90,Valor_normalizado!J$66:J$97,0),"NA"))</f>
        <v>29</v>
      </c>
      <c r="K90" s="66">
        <f>IF(Valor_normalizado!K90=0,32,IFERROR(RANK(Valor_normalizado!K90,Valor_normalizado!K$66:K$97,0),"NA"))</f>
        <v>25</v>
      </c>
      <c r="L90" s="66">
        <f>IF(Valor_normalizado!L90=0,32,IFERROR(RANK(Valor_normalizado!L90,Valor_normalizado!L$66:L$97,0),"NA"))</f>
        <v>24</v>
      </c>
      <c r="M90" s="66">
        <f>IF(Valor_normalizado!M90=0,32,IFERROR(RANK(Valor_normalizado!M90,Valor_normalizado!M$66:M$97,0),"NA"))</f>
        <v>32</v>
      </c>
      <c r="N90" s="66">
        <f>IF(Valor_normalizado!N90=0,32,IFERROR(RANK(Valor_normalizado!N90,Valor_normalizado!N$66:N$97,0),"NA"))</f>
        <v>32</v>
      </c>
      <c r="O90" s="66">
        <f>IF(Valor_normalizado!O90=0,32,IFERROR(RANK(Valor_normalizado!O90,Valor_normalizado!O$66:O$97,0),"NA"))</f>
        <v>25</v>
      </c>
      <c r="P90" s="66">
        <f>IF(Valor_normalizado!P90=0,32,IFERROR(RANK(Valor_normalizado!P90,Valor_normalizado!P$66:P$97,0),"NA"))</f>
        <v>32</v>
      </c>
      <c r="Q90" s="66">
        <f>IF(Valor_normalizado!Q90=0,32,IFERROR(RANK(Valor_normalizado!Q90,Valor_normalizado!Q$66:Q$97,0),"NA"))</f>
        <v>32</v>
      </c>
      <c r="R90" s="66">
        <f>IF(Valor_normalizado!R90=0,32,IFERROR(RANK(Valor_normalizado!R90,Valor_normalizado!R$66:R$97,0),"NA"))</f>
        <v>26</v>
      </c>
      <c r="S90" s="66">
        <f>IF(Valor_normalizado!S90=0,32,IFERROR(RANK(Valor_normalizado!S90,Valor_normalizado!S$66:S$97,0),"NA"))</f>
        <v>32</v>
      </c>
      <c r="T90" s="66">
        <f>IF(Valor_normalizado!T90=0,32,IFERROR(RANK(Valor_normalizado!T90,Valor_normalizado!T$66:T$97,0),"NA"))</f>
        <v>32</v>
      </c>
      <c r="U90" s="66">
        <f>IF(Valor_normalizado!U90=0,32,IFERROR(RANK(Valor_normalizado!U90,Valor_normalizado!U$66:U$97,0),"NA"))</f>
        <v>32</v>
      </c>
      <c r="V90" s="66">
        <f>IF(Valor_normalizado!V90=0,32,IFERROR(RANK(Valor_normalizado!V90,Valor_normalizado!V$66:V$97,0),"NA"))</f>
        <v>3</v>
      </c>
      <c r="W90" s="66">
        <f>IF(Valor_normalizado!W90=0,32,IFERROR(RANK(Valor_normalizado!W90,Valor_normalizado!W$66:W$97,0),"NA"))</f>
        <v>16</v>
      </c>
      <c r="X90" s="66">
        <f>IF(Valor_normalizado!X90=0,32,IFERROR(RANK(Valor_normalizado!X90,Valor_normalizado!X$66:X$97,0),"NA"))</f>
        <v>24</v>
      </c>
      <c r="Y90" s="66">
        <f>IF(Valor_normalizado!Y90=0,32,IFERROR(RANK(Valor_normalizado!Y90,Valor_normalizado!Y$66:Y$97,0),"NA"))</f>
        <v>16</v>
      </c>
    </row>
    <row r="91" ht="14.25" hidden="1" customHeight="1">
      <c r="A91" s="51" t="s">
        <v>332</v>
      </c>
      <c r="B91" s="23">
        <v>2021.0</v>
      </c>
      <c r="C91" s="66">
        <f>IF(Valor_normalizado!C91=0,32,IFERROR(RANK(Valor_normalizado!C91,Valor_normalizado!C$66:C$97,0),"NA"))</f>
        <v>30</v>
      </c>
      <c r="D91" s="66">
        <f>IF(Valor_normalizado!D91=0,32,IFERROR(RANK(Valor_normalizado!D91,Valor_normalizado!D$66:D$97,0),"NA"))</f>
        <v>24</v>
      </c>
      <c r="E91" s="66">
        <f>IF(Valor_normalizado!E91=0,32,IFERROR(RANK(Valor_normalizado!E91,Valor_normalizado!E$66:E$97,0),"NA"))</f>
        <v>17</v>
      </c>
      <c r="F91" s="66">
        <f>IF(Valor_normalizado!F91=0,32,IFERROR(RANK(Valor_normalizado!F91,Valor_normalizado!F$66:F$97,0),"NA"))</f>
        <v>19</v>
      </c>
      <c r="G91" s="66">
        <f>IF(Valor_normalizado!G91=0,32,IFERROR(RANK(Valor_normalizado!G91,Valor_normalizado!G$66:G$97,0),"NA"))</f>
        <v>24</v>
      </c>
      <c r="H91" s="66">
        <f>IF(Valor_normalizado!H91=0,32,IFERROR(RANK(Valor_normalizado!H91,Valor_normalizado!H$66:H$97,0),"NA"))</f>
        <v>16</v>
      </c>
      <c r="I91" s="66">
        <f>IF(Valor_normalizado!I91=0,32,IFERROR(RANK(Valor_normalizado!I91,Valor_normalizado!I$66:I$97,0),"NA"))</f>
        <v>31</v>
      </c>
      <c r="J91" s="66">
        <f>IF(Valor_normalizado!J91=0,32,IFERROR(RANK(Valor_normalizado!J91,Valor_normalizado!J$66:J$97,0),"NA"))</f>
        <v>13</v>
      </c>
      <c r="K91" s="66">
        <f>IF(Valor_normalizado!K91=0,32,IFERROR(RANK(Valor_normalizado!K91,Valor_normalizado!K$66:K$97,0),"NA"))</f>
        <v>22</v>
      </c>
      <c r="L91" s="66">
        <f>IF(Valor_normalizado!L91=0,32,IFERROR(RANK(Valor_normalizado!L91,Valor_normalizado!L$66:L$97,0),"NA"))</f>
        <v>23</v>
      </c>
      <c r="M91" s="66">
        <f>IF(Valor_normalizado!M91=0,32,IFERROR(RANK(Valor_normalizado!M91,Valor_normalizado!M$66:M$97,0),"NA"))</f>
        <v>21</v>
      </c>
      <c r="N91" s="66">
        <f>IF(Valor_normalizado!N91=0,32,IFERROR(RANK(Valor_normalizado!N91,Valor_normalizado!N$66:N$97,0),"NA"))</f>
        <v>32</v>
      </c>
      <c r="O91" s="66">
        <f>IF(Valor_normalizado!O91=0,32,IFERROR(RANK(Valor_normalizado!O91,Valor_normalizado!O$66:O$97,0),"NA"))</f>
        <v>32</v>
      </c>
      <c r="P91" s="66">
        <f>IF(Valor_normalizado!P91=0,32,IFERROR(RANK(Valor_normalizado!P91,Valor_normalizado!P$66:P$97,0),"NA"))</f>
        <v>32</v>
      </c>
      <c r="Q91" s="66">
        <f>IF(Valor_normalizado!Q91=0,32,IFERROR(RANK(Valor_normalizado!Q91,Valor_normalizado!Q$66:Q$97,0),"NA"))</f>
        <v>32</v>
      </c>
      <c r="R91" s="66">
        <f>IF(Valor_normalizado!R91=0,32,IFERROR(RANK(Valor_normalizado!R91,Valor_normalizado!R$66:R$97,0),"NA"))</f>
        <v>25</v>
      </c>
      <c r="S91" s="66">
        <f>IF(Valor_normalizado!S91=0,32,IFERROR(RANK(Valor_normalizado!S91,Valor_normalizado!S$66:S$97,0),"NA"))</f>
        <v>32</v>
      </c>
      <c r="T91" s="66">
        <f>IF(Valor_normalizado!T91=0,32,IFERROR(RANK(Valor_normalizado!T91,Valor_normalizado!T$66:T$97,0),"NA"))</f>
        <v>32</v>
      </c>
      <c r="U91" s="66">
        <f>IF(Valor_normalizado!U91=0,32,IFERROR(RANK(Valor_normalizado!U91,Valor_normalizado!U$66:U$97,0),"NA"))</f>
        <v>32</v>
      </c>
      <c r="V91" s="66">
        <f>IF(Valor_normalizado!V91=0,32,IFERROR(RANK(Valor_normalizado!V91,Valor_normalizado!V$66:V$97,0),"NA"))</f>
        <v>32</v>
      </c>
      <c r="W91" s="66">
        <f>IF(Valor_normalizado!W91=0,32,IFERROR(RANK(Valor_normalizado!W91,Valor_normalizado!W$66:W$97,0),"NA"))</f>
        <v>32</v>
      </c>
      <c r="X91" s="66">
        <f>IF(Valor_normalizado!X91=0,32,IFERROR(RANK(Valor_normalizado!X91,Valor_normalizado!X$66:X$97,0),"NA"))</f>
        <v>27</v>
      </c>
      <c r="Y91" s="66">
        <f>IF(Valor_normalizado!Y91=0,32,IFERROR(RANK(Valor_normalizado!Y91,Valor_normalizado!Y$66:Y$97,0),"NA"))</f>
        <v>28</v>
      </c>
    </row>
    <row r="92" ht="14.25" hidden="1" customHeight="1">
      <c r="A92" s="49" t="s">
        <v>319</v>
      </c>
      <c r="B92" s="23">
        <v>2021.0</v>
      </c>
      <c r="C92" s="66">
        <f>IF(Valor_normalizado!C92=0,32,IFERROR(RANK(Valor_normalizado!C92,Valor_normalizado!C$66:C$97,0),"NA"))</f>
        <v>16</v>
      </c>
      <c r="D92" s="66">
        <f>IF(Valor_normalizado!D92=0,32,IFERROR(RANK(Valor_normalizado!D92,Valor_normalizado!D$66:D$97,0),"NA"))</f>
        <v>13</v>
      </c>
      <c r="E92" s="66">
        <f>IF(Valor_normalizado!E92=0,32,IFERROR(RANK(Valor_normalizado!E92,Valor_normalizado!E$66:E$97,0),"NA"))</f>
        <v>20</v>
      </c>
      <c r="F92" s="66">
        <f>IF(Valor_normalizado!F92=0,32,IFERROR(RANK(Valor_normalizado!F92,Valor_normalizado!F$66:F$97,0),"NA"))</f>
        <v>23</v>
      </c>
      <c r="G92" s="66">
        <f>IF(Valor_normalizado!G92=0,32,IFERROR(RANK(Valor_normalizado!G92,Valor_normalizado!G$66:G$97,0),"NA"))</f>
        <v>19</v>
      </c>
      <c r="H92" s="66">
        <f>IF(Valor_normalizado!H92=0,32,IFERROR(RANK(Valor_normalizado!H92,Valor_normalizado!H$66:H$97,0),"NA"))</f>
        <v>14</v>
      </c>
      <c r="I92" s="66">
        <f>IF(Valor_normalizado!I92=0,32,IFERROR(RANK(Valor_normalizado!I92,Valor_normalizado!I$66:I$97,0),"NA"))</f>
        <v>19</v>
      </c>
      <c r="J92" s="66">
        <f>IF(Valor_normalizado!J92=0,32,IFERROR(RANK(Valor_normalizado!J92,Valor_normalizado!J$66:J$97,0),"NA"))</f>
        <v>14</v>
      </c>
      <c r="K92" s="66">
        <f>IF(Valor_normalizado!K92=0,32,IFERROR(RANK(Valor_normalizado!K92,Valor_normalizado!K$66:K$97,0),"NA"))</f>
        <v>16</v>
      </c>
      <c r="L92" s="66">
        <f>IF(Valor_normalizado!L92=0,32,IFERROR(RANK(Valor_normalizado!L92,Valor_normalizado!L$66:L$97,0),"NA"))</f>
        <v>17</v>
      </c>
      <c r="M92" s="66">
        <f>IF(Valor_normalizado!M92=0,32,IFERROR(RANK(Valor_normalizado!M92,Valor_normalizado!M$66:M$97,0),"NA"))</f>
        <v>12</v>
      </c>
      <c r="N92" s="66">
        <f>IF(Valor_normalizado!N92=0,32,IFERROR(RANK(Valor_normalizado!N92,Valor_normalizado!N$66:N$97,0),"NA"))</f>
        <v>6</v>
      </c>
      <c r="O92" s="66">
        <f>IF(Valor_normalizado!O92=0,32,IFERROR(RANK(Valor_normalizado!O92,Valor_normalizado!O$66:O$97,0),"NA"))</f>
        <v>16</v>
      </c>
      <c r="P92" s="66">
        <f>IF(Valor_normalizado!P92=0,32,IFERROR(RANK(Valor_normalizado!P92,Valor_normalizado!P$66:P$97,0),"NA"))</f>
        <v>15</v>
      </c>
      <c r="Q92" s="66">
        <f>IF(Valor_normalizado!Q92=0,32,IFERROR(RANK(Valor_normalizado!Q92,Valor_normalizado!Q$66:Q$97,0),"NA"))</f>
        <v>4</v>
      </c>
      <c r="R92" s="66">
        <f>IF(Valor_normalizado!R92=0,32,IFERROR(RANK(Valor_normalizado!R92,Valor_normalizado!R$66:R$97,0),"NA"))</f>
        <v>9</v>
      </c>
      <c r="S92" s="66">
        <f>IF(Valor_normalizado!S92=0,32,IFERROR(RANK(Valor_normalizado!S92,Valor_normalizado!S$66:S$97,0),"NA"))</f>
        <v>18</v>
      </c>
      <c r="T92" s="66">
        <f>IF(Valor_normalizado!T92=0,32,IFERROR(RANK(Valor_normalizado!T92,Valor_normalizado!T$66:T$97,0),"NA"))</f>
        <v>9</v>
      </c>
      <c r="U92" s="66">
        <f>IF(Valor_normalizado!U92=0,32,IFERROR(RANK(Valor_normalizado!U92,Valor_normalizado!U$66:U$97,0),"NA"))</f>
        <v>17</v>
      </c>
      <c r="V92" s="66">
        <f>IF(Valor_normalizado!V92=0,32,IFERROR(RANK(Valor_normalizado!V92,Valor_normalizado!V$66:V$97,0),"NA"))</f>
        <v>16</v>
      </c>
      <c r="W92" s="66">
        <f>IF(Valor_normalizado!W92=0,32,IFERROR(RANK(Valor_normalizado!W92,Valor_normalizado!W$66:W$97,0),"NA"))</f>
        <v>15</v>
      </c>
      <c r="X92" s="66">
        <f>IF(Valor_normalizado!X92=0,32,IFERROR(RANK(Valor_normalizado!X92,Valor_normalizado!X$66:X$97,0),"NA"))</f>
        <v>13</v>
      </c>
      <c r="Y92" s="66">
        <f>IF(Valor_normalizado!Y92=0,32,IFERROR(RANK(Valor_normalizado!Y92,Valor_normalizado!Y$66:Y$97,0),"NA"))</f>
        <v>15</v>
      </c>
    </row>
    <row r="93" ht="14.25" hidden="1" customHeight="1">
      <c r="A93" s="51" t="s">
        <v>323</v>
      </c>
      <c r="B93" s="23">
        <v>2021.0</v>
      </c>
      <c r="C93" s="66">
        <f>IF(Valor_normalizado!C93=0,32,IFERROR(RANK(Valor_normalizado!C93,Valor_normalizado!C$66:C$97,0),"NA"))</f>
        <v>20</v>
      </c>
      <c r="D93" s="66">
        <f>IF(Valor_normalizado!D93=0,32,IFERROR(RANK(Valor_normalizado!D93,Valor_normalizado!D$66:D$97,0),"NA"))</f>
        <v>20</v>
      </c>
      <c r="E93" s="66">
        <f>IF(Valor_normalizado!E93=0,32,IFERROR(RANK(Valor_normalizado!E93,Valor_normalizado!E$66:E$97,0),"NA"))</f>
        <v>26</v>
      </c>
      <c r="F93" s="66">
        <f>IF(Valor_normalizado!F93=0,32,IFERROR(RANK(Valor_normalizado!F93,Valor_normalizado!F$66:F$97,0),"NA"))</f>
        <v>28</v>
      </c>
      <c r="G93" s="66">
        <f>IF(Valor_normalizado!G93=0,32,IFERROR(RANK(Valor_normalizado!G93,Valor_normalizado!G$66:G$97,0),"NA"))</f>
        <v>23</v>
      </c>
      <c r="H93" s="66">
        <f>IF(Valor_normalizado!H93=0,32,IFERROR(RANK(Valor_normalizado!H93,Valor_normalizado!H$66:H$97,0),"NA"))</f>
        <v>25</v>
      </c>
      <c r="I93" s="66">
        <f>IF(Valor_normalizado!I93=0,32,IFERROR(RANK(Valor_normalizado!I93,Valor_normalizado!I$66:I$97,0),"NA"))</f>
        <v>17</v>
      </c>
      <c r="J93" s="66">
        <f>IF(Valor_normalizado!J93=0,32,IFERROR(RANK(Valor_normalizado!J93,Valor_normalizado!J$66:J$97,0),"NA"))</f>
        <v>15</v>
      </c>
      <c r="K93" s="66">
        <f>IF(Valor_normalizado!K93=0,32,IFERROR(RANK(Valor_normalizado!K93,Valor_normalizado!K$66:K$97,0),"NA"))</f>
        <v>18</v>
      </c>
      <c r="L93" s="66">
        <f>IF(Valor_normalizado!L93=0,32,IFERROR(RANK(Valor_normalizado!L93,Valor_normalizado!L$66:L$97,0),"NA"))</f>
        <v>22</v>
      </c>
      <c r="M93" s="66">
        <f>IF(Valor_normalizado!M93=0,32,IFERROR(RANK(Valor_normalizado!M93,Valor_normalizado!M$66:M$97,0),"NA"))</f>
        <v>15</v>
      </c>
      <c r="N93" s="66">
        <f>IF(Valor_normalizado!N93=0,32,IFERROR(RANK(Valor_normalizado!N93,Valor_normalizado!N$66:N$97,0),"NA"))</f>
        <v>32</v>
      </c>
      <c r="O93" s="66">
        <f>IF(Valor_normalizado!O93=0,32,IFERROR(RANK(Valor_normalizado!O93,Valor_normalizado!O$66:O$97,0),"NA"))</f>
        <v>10</v>
      </c>
      <c r="P93" s="66">
        <f>IF(Valor_normalizado!P93=0,32,IFERROR(RANK(Valor_normalizado!P93,Valor_normalizado!P$66:P$97,0),"NA"))</f>
        <v>17</v>
      </c>
      <c r="Q93" s="66">
        <f>IF(Valor_normalizado!Q93=0,32,IFERROR(RANK(Valor_normalizado!Q93,Valor_normalizado!Q$66:Q$97,0),"NA"))</f>
        <v>5</v>
      </c>
      <c r="R93" s="66">
        <f>IF(Valor_normalizado!R93=0,32,IFERROR(RANK(Valor_normalizado!R93,Valor_normalizado!R$66:R$97,0),"NA"))</f>
        <v>17</v>
      </c>
      <c r="S93" s="66">
        <f>IF(Valor_normalizado!S93=0,32,IFERROR(RANK(Valor_normalizado!S93,Valor_normalizado!S$66:S$97,0),"NA"))</f>
        <v>19</v>
      </c>
      <c r="T93" s="66">
        <f>IF(Valor_normalizado!T93=0,32,IFERROR(RANK(Valor_normalizado!T93,Valor_normalizado!T$66:T$97,0),"NA"))</f>
        <v>32</v>
      </c>
      <c r="U93" s="66">
        <f>IF(Valor_normalizado!U93=0,32,IFERROR(RANK(Valor_normalizado!U93,Valor_normalizado!U$66:U$97,0),"NA"))</f>
        <v>32</v>
      </c>
      <c r="V93" s="66">
        <f>IF(Valor_normalizado!V93=0,32,IFERROR(RANK(Valor_normalizado!V93,Valor_normalizado!V$66:V$97,0),"NA"))</f>
        <v>23</v>
      </c>
      <c r="W93" s="66">
        <f>IF(Valor_normalizado!W93=0,32,IFERROR(RANK(Valor_normalizado!W93,Valor_normalizado!W$66:W$97,0),"NA"))</f>
        <v>23</v>
      </c>
      <c r="X93" s="66">
        <f>IF(Valor_normalizado!X93=0,32,IFERROR(RANK(Valor_normalizado!X93,Valor_normalizado!X$66:X$97,0),"NA"))</f>
        <v>20</v>
      </c>
      <c r="Y93" s="66">
        <f>IF(Valor_normalizado!Y93=0,32,IFERROR(RANK(Valor_normalizado!Y93,Valor_normalizado!Y$66:Y$97,0),"NA"))</f>
        <v>23</v>
      </c>
    </row>
    <row r="94" ht="14.25" hidden="1" customHeight="1">
      <c r="A94" s="49" t="s">
        <v>308</v>
      </c>
      <c r="B94" s="23">
        <v>2021.0</v>
      </c>
      <c r="C94" s="66">
        <f>IF(Valor_normalizado!C94=0,32,IFERROR(RANK(Valor_normalizado!C94,Valor_normalizado!C$66:C$97,0),"NA"))</f>
        <v>5</v>
      </c>
      <c r="D94" s="66">
        <f>IF(Valor_normalizado!D94=0,32,IFERROR(RANK(Valor_normalizado!D94,Valor_normalizado!D$66:D$97,0),"NA"))</f>
        <v>10</v>
      </c>
      <c r="E94" s="66">
        <f>IF(Valor_normalizado!E94=0,32,IFERROR(RANK(Valor_normalizado!E94,Valor_normalizado!E$66:E$97,0),"NA"))</f>
        <v>7</v>
      </c>
      <c r="F94" s="66">
        <f>IF(Valor_normalizado!F94=0,32,IFERROR(RANK(Valor_normalizado!F94,Valor_normalizado!F$66:F$97,0),"NA"))</f>
        <v>11</v>
      </c>
      <c r="G94" s="66">
        <f>IF(Valor_normalizado!G94=0,32,IFERROR(RANK(Valor_normalizado!G94,Valor_normalizado!G$66:G$97,0),"NA"))</f>
        <v>6</v>
      </c>
      <c r="H94" s="66">
        <f>IF(Valor_normalizado!H94=0,32,IFERROR(RANK(Valor_normalizado!H94,Valor_normalizado!H$66:H$97,0),"NA"))</f>
        <v>1</v>
      </c>
      <c r="I94" s="66">
        <f>IF(Valor_normalizado!I94=0,32,IFERROR(RANK(Valor_normalizado!I94,Valor_normalizado!I$66:I$97,0),"NA"))</f>
        <v>1</v>
      </c>
      <c r="J94" s="66">
        <f>IF(Valor_normalizado!J94=0,32,IFERROR(RANK(Valor_normalizado!J94,Valor_normalizado!J$66:J$97,0),"NA"))</f>
        <v>2</v>
      </c>
      <c r="K94" s="66">
        <f>IF(Valor_normalizado!K94=0,32,IFERROR(RANK(Valor_normalizado!K94,Valor_normalizado!K$66:K$97,0),"NA"))</f>
        <v>1</v>
      </c>
      <c r="L94" s="66">
        <f>IF(Valor_normalizado!L94=0,32,IFERROR(RANK(Valor_normalizado!L94,Valor_normalizado!L$66:L$97,0),"NA"))</f>
        <v>1</v>
      </c>
      <c r="M94" s="66">
        <f>IF(Valor_normalizado!M94=0,32,IFERROR(RANK(Valor_normalizado!M94,Valor_normalizado!M$66:M$97,0),"NA"))</f>
        <v>1</v>
      </c>
      <c r="N94" s="66">
        <f>IF(Valor_normalizado!N94=0,32,IFERROR(RANK(Valor_normalizado!N94,Valor_normalizado!N$66:N$97,0),"NA"))</f>
        <v>1</v>
      </c>
      <c r="O94" s="66">
        <f>IF(Valor_normalizado!O94=0,32,IFERROR(RANK(Valor_normalizado!O94,Valor_normalizado!O$66:O$97,0),"NA"))</f>
        <v>1</v>
      </c>
      <c r="P94" s="66">
        <f>IF(Valor_normalizado!P94=0,32,IFERROR(RANK(Valor_normalizado!P94,Valor_normalizado!P$66:P$97,0),"NA"))</f>
        <v>14</v>
      </c>
      <c r="Q94" s="66">
        <f>IF(Valor_normalizado!Q94=0,32,IFERROR(RANK(Valor_normalizado!Q94,Valor_normalizado!Q$66:Q$97,0),"NA"))</f>
        <v>9</v>
      </c>
      <c r="R94" s="66">
        <f>IF(Valor_normalizado!R94=0,32,IFERROR(RANK(Valor_normalizado!R94,Valor_normalizado!R$66:R$97,0),"NA"))</f>
        <v>1</v>
      </c>
      <c r="S94" s="66">
        <f>IF(Valor_normalizado!S94=0,32,IFERROR(RANK(Valor_normalizado!S94,Valor_normalizado!S$66:S$97,0),"NA"))</f>
        <v>7</v>
      </c>
      <c r="T94" s="66">
        <f>IF(Valor_normalizado!T94=0,32,IFERROR(RANK(Valor_normalizado!T94,Valor_normalizado!T$66:T$97,0),"NA"))</f>
        <v>4</v>
      </c>
      <c r="U94" s="66">
        <f>IF(Valor_normalizado!U94=0,32,IFERROR(RANK(Valor_normalizado!U94,Valor_normalizado!U$66:U$97,0),"NA"))</f>
        <v>8</v>
      </c>
      <c r="V94" s="66">
        <f>IF(Valor_normalizado!V94=0,32,IFERROR(RANK(Valor_normalizado!V94,Valor_normalizado!V$66:V$97,0),"NA"))</f>
        <v>9</v>
      </c>
      <c r="W94" s="66">
        <f>IF(Valor_normalizado!W94=0,32,IFERROR(RANK(Valor_normalizado!W94,Valor_normalizado!W$66:W$97,0),"NA"))</f>
        <v>8</v>
      </c>
      <c r="X94" s="66">
        <f>IF(Valor_normalizado!X94=0,32,IFERROR(RANK(Valor_normalizado!X94,Valor_normalizado!X$66:X$97,0),"NA"))</f>
        <v>4</v>
      </c>
      <c r="Y94" s="66">
        <f>IF(Valor_normalizado!Y94=0,32,IFERROR(RANK(Valor_normalizado!Y94,Valor_normalizado!Y$66:Y$97,0),"NA"))</f>
        <v>3</v>
      </c>
    </row>
    <row r="95" ht="14.25" hidden="1" customHeight="1">
      <c r="A95" s="51" t="s">
        <v>321</v>
      </c>
      <c r="B95" s="23">
        <v>2021.0</v>
      </c>
      <c r="C95" s="66">
        <f>IF(Valor_normalizado!C95=0,32,IFERROR(RANK(Valor_normalizado!C95,Valor_normalizado!C$66:C$97,0),"NA"))</f>
        <v>18</v>
      </c>
      <c r="D95" s="66">
        <f>IF(Valor_normalizado!D95=0,32,IFERROR(RANK(Valor_normalizado!D95,Valor_normalizado!D$66:D$97,0),"NA"))</f>
        <v>12</v>
      </c>
      <c r="E95" s="66">
        <f>IF(Valor_normalizado!E95=0,32,IFERROR(RANK(Valor_normalizado!E95,Valor_normalizado!E$66:E$97,0),"NA"))</f>
        <v>22</v>
      </c>
      <c r="F95" s="66">
        <f>IF(Valor_normalizado!F95=0,32,IFERROR(RANK(Valor_normalizado!F95,Valor_normalizado!F$66:F$97,0),"NA"))</f>
        <v>18</v>
      </c>
      <c r="G95" s="66">
        <f>IF(Valor_normalizado!G95=0,32,IFERROR(RANK(Valor_normalizado!G95,Valor_normalizado!G$66:G$97,0),"NA"))</f>
        <v>17</v>
      </c>
      <c r="H95" s="66">
        <f>IF(Valor_normalizado!H95=0,32,IFERROR(RANK(Valor_normalizado!H95,Valor_normalizado!H$66:H$97,0),"NA"))</f>
        <v>17</v>
      </c>
      <c r="I95" s="66">
        <f>IF(Valor_normalizado!I95=0,32,IFERROR(RANK(Valor_normalizado!I95,Valor_normalizado!I$66:I$97,0),"NA"))</f>
        <v>22</v>
      </c>
      <c r="J95" s="66">
        <f>IF(Valor_normalizado!J95=0,32,IFERROR(RANK(Valor_normalizado!J95,Valor_normalizado!J$66:J$97,0),"NA"))</f>
        <v>18</v>
      </c>
      <c r="K95" s="66">
        <f>IF(Valor_normalizado!K95=0,32,IFERROR(RANK(Valor_normalizado!K95,Valor_normalizado!K$66:K$97,0),"NA"))</f>
        <v>21</v>
      </c>
      <c r="L95" s="66">
        <f>IF(Valor_normalizado!L95=0,32,IFERROR(RANK(Valor_normalizado!L95,Valor_normalizado!L$66:L$97,0),"NA"))</f>
        <v>20</v>
      </c>
      <c r="M95" s="66">
        <f>IF(Valor_normalizado!M95=0,32,IFERROR(RANK(Valor_normalizado!M95,Valor_normalizado!M$66:M$97,0),"NA"))</f>
        <v>22</v>
      </c>
      <c r="N95" s="66">
        <f>IF(Valor_normalizado!N95=0,32,IFERROR(RANK(Valor_normalizado!N95,Valor_normalizado!N$66:N$97,0),"NA"))</f>
        <v>32</v>
      </c>
      <c r="O95" s="66">
        <f>IF(Valor_normalizado!O95=0,32,IFERROR(RANK(Valor_normalizado!O95,Valor_normalizado!O$66:O$97,0),"NA"))</f>
        <v>24</v>
      </c>
      <c r="P95" s="66">
        <f>IF(Valor_normalizado!P95=0,32,IFERROR(RANK(Valor_normalizado!P95,Valor_normalizado!P$66:P$97,0),"NA"))</f>
        <v>19</v>
      </c>
      <c r="Q95" s="66">
        <f>IF(Valor_normalizado!Q95=0,32,IFERROR(RANK(Valor_normalizado!Q95,Valor_normalizado!Q$66:Q$97,0),"NA"))</f>
        <v>24</v>
      </c>
      <c r="R95" s="66">
        <f>IF(Valor_normalizado!R95=0,32,IFERROR(RANK(Valor_normalizado!R95,Valor_normalizado!R$66:R$97,0),"NA"))</f>
        <v>24</v>
      </c>
      <c r="S95" s="66">
        <f>IF(Valor_normalizado!S95=0,32,IFERROR(RANK(Valor_normalizado!S95,Valor_normalizado!S$66:S$97,0),"NA"))</f>
        <v>32</v>
      </c>
      <c r="T95" s="66">
        <f>IF(Valor_normalizado!T95=0,32,IFERROR(RANK(Valor_normalizado!T95,Valor_normalizado!T$66:T$97,0),"NA"))</f>
        <v>32</v>
      </c>
      <c r="U95" s="66">
        <f>IF(Valor_normalizado!U95=0,32,IFERROR(RANK(Valor_normalizado!U95,Valor_normalizado!U$66:U$97,0),"NA"))</f>
        <v>20</v>
      </c>
      <c r="V95" s="66">
        <f>IF(Valor_normalizado!V95=0,32,IFERROR(RANK(Valor_normalizado!V95,Valor_normalizado!V$66:V$97,0),"NA"))</f>
        <v>27</v>
      </c>
      <c r="W95" s="66">
        <f>IF(Valor_normalizado!W95=0,32,IFERROR(RANK(Valor_normalizado!W95,Valor_normalizado!W$66:W$97,0),"NA"))</f>
        <v>25</v>
      </c>
      <c r="X95" s="66">
        <f>IF(Valor_normalizado!X95=0,32,IFERROR(RANK(Valor_normalizado!X95,Valor_normalizado!X$66:X$97,0),"NA"))</f>
        <v>25</v>
      </c>
      <c r="Y95" s="66">
        <f>IF(Valor_normalizado!Y95=0,32,IFERROR(RANK(Valor_normalizado!Y95,Valor_normalizado!Y$66:Y$97,0),"NA"))</f>
        <v>21</v>
      </c>
    </row>
    <row r="96" ht="14.25" hidden="1" customHeight="1">
      <c r="A96" s="49" t="s">
        <v>317</v>
      </c>
      <c r="B96" s="23">
        <v>2021.0</v>
      </c>
      <c r="C96" s="66">
        <f>IF(Valor_normalizado!C96=0,32,IFERROR(RANK(Valor_normalizado!C96,Valor_normalizado!C$66:C$97,0),"NA"))</f>
        <v>13</v>
      </c>
      <c r="D96" s="66">
        <f>IF(Valor_normalizado!D96=0,32,IFERROR(RANK(Valor_normalizado!D96,Valor_normalizado!D$66:D$97,0),"NA"))</f>
        <v>3</v>
      </c>
      <c r="E96" s="66">
        <f>IF(Valor_normalizado!E96=0,32,IFERROR(RANK(Valor_normalizado!E96,Valor_normalizado!E$66:E$97,0),"NA"))</f>
        <v>13</v>
      </c>
      <c r="F96" s="66">
        <f>IF(Valor_normalizado!F96=0,32,IFERROR(RANK(Valor_normalizado!F96,Valor_normalizado!F$66:F$97,0),"NA"))</f>
        <v>4</v>
      </c>
      <c r="G96" s="66">
        <f>IF(Valor_normalizado!G96=0,32,IFERROR(RANK(Valor_normalizado!G96,Valor_normalizado!G$66:G$97,0),"NA"))</f>
        <v>10</v>
      </c>
      <c r="H96" s="66">
        <f>IF(Valor_normalizado!H96=0,32,IFERROR(RANK(Valor_normalizado!H96,Valor_normalizado!H$66:H$97,0),"NA"))</f>
        <v>28</v>
      </c>
      <c r="I96" s="66">
        <f>IF(Valor_normalizado!I96=0,32,IFERROR(RANK(Valor_normalizado!I96,Valor_normalizado!I$66:I$97,0),"NA"))</f>
        <v>23</v>
      </c>
      <c r="J96" s="66">
        <f>IF(Valor_normalizado!J96=0,32,IFERROR(RANK(Valor_normalizado!J96,Valor_normalizado!J$66:J$97,0),"NA"))</f>
        <v>23</v>
      </c>
      <c r="K96" s="66">
        <f>IF(Valor_normalizado!K96=0,32,IFERROR(RANK(Valor_normalizado!K96,Valor_normalizado!K$66:K$97,0),"NA"))</f>
        <v>27</v>
      </c>
      <c r="L96" s="66">
        <f>IF(Valor_normalizado!L96=0,32,IFERROR(RANK(Valor_normalizado!L96,Valor_normalizado!L$66:L$97,0),"NA"))</f>
        <v>14</v>
      </c>
      <c r="M96" s="66">
        <f>IF(Valor_normalizado!M96=0,32,IFERROR(RANK(Valor_normalizado!M96,Valor_normalizado!M$66:M$97,0),"NA"))</f>
        <v>25</v>
      </c>
      <c r="N96" s="66">
        <f>IF(Valor_normalizado!N96=0,32,IFERROR(RANK(Valor_normalizado!N96,Valor_normalizado!N$66:N$97,0),"NA"))</f>
        <v>32</v>
      </c>
      <c r="O96" s="66">
        <f>IF(Valor_normalizado!O96=0,32,IFERROR(RANK(Valor_normalizado!O96,Valor_normalizado!O$66:O$97,0),"NA"))</f>
        <v>22</v>
      </c>
      <c r="P96" s="66">
        <f>IF(Valor_normalizado!P96=0,32,IFERROR(RANK(Valor_normalizado!P96,Valor_normalizado!P$66:P$97,0),"NA"))</f>
        <v>21</v>
      </c>
      <c r="Q96" s="66">
        <f>IF(Valor_normalizado!Q96=0,32,IFERROR(RANK(Valor_normalizado!Q96,Valor_normalizado!Q$66:Q$97,0),"NA"))</f>
        <v>22</v>
      </c>
      <c r="R96" s="66">
        <f>IF(Valor_normalizado!R96=0,32,IFERROR(RANK(Valor_normalizado!R96,Valor_normalizado!R$66:R$97,0),"NA"))</f>
        <v>23</v>
      </c>
      <c r="S96" s="66">
        <f>IF(Valor_normalizado!S96=0,32,IFERROR(RANK(Valor_normalizado!S96,Valor_normalizado!S$66:S$97,0),"NA"))</f>
        <v>14</v>
      </c>
      <c r="T96" s="66">
        <f>IF(Valor_normalizado!T96=0,32,IFERROR(RANK(Valor_normalizado!T96,Valor_normalizado!T$66:T$97,0),"NA"))</f>
        <v>11</v>
      </c>
      <c r="U96" s="66">
        <f>IF(Valor_normalizado!U96=0,32,IFERROR(RANK(Valor_normalizado!U96,Valor_normalizado!U$66:U$97,0),"NA"))</f>
        <v>16</v>
      </c>
      <c r="V96" s="66">
        <f>IF(Valor_normalizado!V96=0,32,IFERROR(RANK(Valor_normalizado!V96,Valor_normalizado!V$66:V$97,0),"NA"))</f>
        <v>19</v>
      </c>
      <c r="W96" s="66">
        <f>IF(Valor_normalizado!W96=0,32,IFERROR(RANK(Valor_normalizado!W96,Valor_normalizado!W$66:W$97,0),"NA"))</f>
        <v>17</v>
      </c>
      <c r="X96" s="66">
        <f>IF(Valor_normalizado!X96=0,32,IFERROR(RANK(Valor_normalizado!X96,Valor_normalizado!X$66:X$97,0),"NA"))</f>
        <v>21</v>
      </c>
      <c r="Y96" s="66">
        <f>IF(Valor_normalizado!Y96=0,32,IFERROR(RANK(Valor_normalizado!Y96,Valor_normalizado!Y$66:Y$97,0),"NA"))</f>
        <v>20</v>
      </c>
    </row>
    <row r="97" ht="14.25" hidden="1" customHeight="1">
      <c r="A97" s="51" t="s">
        <v>322</v>
      </c>
      <c r="B97" s="23">
        <v>2021.0</v>
      </c>
      <c r="C97" s="66">
        <f>IF(Valor_normalizado!C97=0,32,IFERROR(RANK(Valor_normalizado!C97,Valor_normalizado!C$66:C$97,0),"NA"))</f>
        <v>12</v>
      </c>
      <c r="D97" s="66">
        <f>IF(Valor_normalizado!D97=0,32,IFERROR(RANK(Valor_normalizado!D97,Valor_normalizado!D$66:D$97,0),"NA"))</f>
        <v>21</v>
      </c>
      <c r="E97" s="66">
        <f>IF(Valor_normalizado!E97=0,32,IFERROR(RANK(Valor_normalizado!E97,Valor_normalizado!E$66:E$97,0),"NA"))</f>
        <v>11</v>
      </c>
      <c r="F97" s="66">
        <f>IF(Valor_normalizado!F97=0,32,IFERROR(RANK(Valor_normalizado!F97,Valor_normalizado!F$66:F$97,0),"NA"))</f>
        <v>12</v>
      </c>
      <c r="G97" s="66">
        <f>IF(Valor_normalizado!G97=0,32,IFERROR(RANK(Valor_normalizado!G97,Valor_normalizado!G$66:G$97,0),"NA"))</f>
        <v>13</v>
      </c>
      <c r="H97" s="66">
        <f>IF(Valor_normalizado!H97=0,32,IFERROR(RANK(Valor_normalizado!H97,Valor_normalizado!H$66:H$97,0),"NA"))</f>
        <v>18</v>
      </c>
      <c r="I97" s="66">
        <f>IF(Valor_normalizado!I97=0,32,IFERROR(RANK(Valor_normalizado!I97,Valor_normalizado!I$66:I$97,0),"NA"))</f>
        <v>20</v>
      </c>
      <c r="J97" s="66">
        <f>IF(Valor_normalizado!J97=0,32,IFERROR(RANK(Valor_normalizado!J97,Valor_normalizado!J$66:J$97,0),"NA"))</f>
        <v>25</v>
      </c>
      <c r="K97" s="66">
        <f>IF(Valor_normalizado!K97=0,32,IFERROR(RANK(Valor_normalizado!K97,Valor_normalizado!K$66:K$97,0),"NA"))</f>
        <v>23</v>
      </c>
      <c r="L97" s="66">
        <f>IF(Valor_normalizado!L97=0,32,IFERROR(RANK(Valor_normalizado!L97,Valor_normalizado!L$66:L$97,0),"NA"))</f>
        <v>15</v>
      </c>
      <c r="M97" s="66">
        <f>IF(Valor_normalizado!M97=0,32,IFERROR(RANK(Valor_normalizado!M97,Valor_normalizado!M$66:M$97,0),"NA"))</f>
        <v>32</v>
      </c>
      <c r="N97" s="66">
        <f>IF(Valor_normalizado!N97=0,32,IFERROR(RANK(Valor_normalizado!N97,Valor_normalizado!N$66:N$97,0),"NA"))</f>
        <v>32</v>
      </c>
      <c r="O97" s="66">
        <f>IF(Valor_normalizado!O97=0,32,IFERROR(RANK(Valor_normalizado!O97,Valor_normalizado!O$66:O$97,0),"NA"))</f>
        <v>26</v>
      </c>
      <c r="P97" s="66">
        <f>IF(Valor_normalizado!P97=0,32,IFERROR(RANK(Valor_normalizado!P97,Valor_normalizado!P$66:P$97,0),"NA"))</f>
        <v>32</v>
      </c>
      <c r="Q97" s="66">
        <f>IF(Valor_normalizado!Q97=0,32,IFERROR(RANK(Valor_normalizado!Q97,Valor_normalizado!Q$66:Q$97,0),"NA"))</f>
        <v>32</v>
      </c>
      <c r="R97" s="66">
        <f>IF(Valor_normalizado!R97=0,32,IFERROR(RANK(Valor_normalizado!R97,Valor_normalizado!R$66:R$97,0),"NA"))</f>
        <v>27</v>
      </c>
      <c r="S97" s="66">
        <f>IF(Valor_normalizado!S97=0,32,IFERROR(RANK(Valor_normalizado!S97,Valor_normalizado!S$66:S$97,0),"NA"))</f>
        <v>32</v>
      </c>
      <c r="T97" s="66">
        <f>IF(Valor_normalizado!T97=0,32,IFERROR(RANK(Valor_normalizado!T97,Valor_normalizado!T$66:T$97,0),"NA"))</f>
        <v>32</v>
      </c>
      <c r="U97" s="66">
        <f>IF(Valor_normalizado!U97=0,32,IFERROR(RANK(Valor_normalizado!U97,Valor_normalizado!U$66:U$97,0),"NA"))</f>
        <v>11</v>
      </c>
      <c r="V97" s="66">
        <f>IF(Valor_normalizado!V97=0,32,IFERROR(RANK(Valor_normalizado!V97,Valor_normalizado!V$66:V$97,0),"NA"))</f>
        <v>20</v>
      </c>
      <c r="W97" s="66">
        <f>IF(Valor_normalizado!W97=0,32,IFERROR(RANK(Valor_normalizado!W97,Valor_normalizado!W$66:W$97,0),"NA"))</f>
        <v>20</v>
      </c>
      <c r="X97" s="66">
        <f>IF(Valor_normalizado!X97=0,32,IFERROR(RANK(Valor_normalizado!X97,Valor_normalizado!X$66:X$97,0),"NA"))</f>
        <v>26</v>
      </c>
      <c r="Y97" s="66">
        <f>IF(Valor_normalizado!Y97=0,32,IFERROR(RANK(Valor_normalizado!Y97,Valor_normalizado!Y$66:Y$97,0),"NA"))</f>
        <v>22</v>
      </c>
    </row>
    <row r="98" ht="14.25" hidden="1" customHeight="1">
      <c r="A98" s="49" t="s">
        <v>329</v>
      </c>
      <c r="B98" s="52">
        <v>2022.0</v>
      </c>
      <c r="C98" s="66">
        <f>IF(Valor_normalizado!C98=0,32,IFERROR(RANK(Valor_normalizado!C98,Valor_normalizado!C$98:C$129,0),"NA"))</f>
        <v>25</v>
      </c>
      <c r="D98" s="66">
        <f>IF(Valor_normalizado!D98=0,32,IFERROR(RANK(Valor_normalizado!D98,Valor_normalizado!D$98:D$129,0),"NA"))</f>
        <v>25</v>
      </c>
      <c r="E98" s="66">
        <f>IF(Valor_normalizado!E98=0,32,IFERROR(RANK(Valor_normalizado!E98,Valor_normalizado!E$98:E$129,0),"NA"))</f>
        <v>28</v>
      </c>
      <c r="F98" s="66">
        <f>IF(Valor_normalizado!F98=0,32,IFERROR(RANK(Valor_normalizado!F98,Valor_normalizado!F$98:F$129,0),"NA"))</f>
        <v>19</v>
      </c>
      <c r="G98" s="66">
        <f>IF(Valor_normalizado!G98=0,32,IFERROR(RANK(Valor_normalizado!G98,Valor_normalizado!G$98:G$129,0),"NA"))</f>
        <v>25</v>
      </c>
      <c r="H98" s="66">
        <f>IF(Valor_normalizado!H98=0,32,IFERROR(RANK(Valor_normalizado!H98,Valor_normalizado!H$98:H$129,0),"NA"))</f>
        <v>31</v>
      </c>
      <c r="I98" s="66">
        <f>IF(Valor_normalizado!I98=0,32,IFERROR(RANK(Valor_normalizado!I98,Valor_normalizado!I$98:I$129,0),"NA"))</f>
        <v>28</v>
      </c>
      <c r="J98" s="66">
        <f>IF(Valor_normalizado!J98=0,32,IFERROR(RANK(Valor_normalizado!J98,Valor_normalizado!J$98:J$129,0),"NA"))</f>
        <v>30</v>
      </c>
      <c r="K98" s="66">
        <f>IF(Valor_normalizado!K98=0,32,IFERROR(RANK(Valor_normalizado!K98,Valor_normalizado!K$98:K$129,0),"NA"))</f>
        <v>31</v>
      </c>
      <c r="L98" s="66">
        <f>IF(Valor_normalizado!L98=0,32,IFERROR(RANK(Valor_normalizado!L98,Valor_normalizado!L$98:L$129,0),"NA"))</f>
        <v>28</v>
      </c>
      <c r="M98" s="66">
        <f>IF(Valor_normalizado!M98=0,32,IFERROR(RANK(Valor_normalizado!M98,Valor_normalizado!M$98:M$129,0),"NA"))</f>
        <v>32</v>
      </c>
      <c r="N98" s="66">
        <f>IF(Valor_normalizado!N98=0,32,IFERROR(RANK(Valor_normalizado!N98,Valor_normalizado!N$98:N$129,0),"NA"))</f>
        <v>32</v>
      </c>
      <c r="O98" s="66">
        <f>IF(Valor_normalizado!O98=0,32,IFERROR(RANK(Valor_normalizado!O98,Valor_normalizado!O$98:O$129,0),"NA"))</f>
        <v>27</v>
      </c>
      <c r="P98" s="66">
        <f>IF(Valor_normalizado!P98=0,32,IFERROR(RANK(Valor_normalizado!P98,Valor_normalizado!P$98:P$129,0),"NA"))</f>
        <v>32</v>
      </c>
      <c r="Q98" s="66">
        <f>IF(Valor_normalizado!Q98=0,32,IFERROR(RANK(Valor_normalizado!Q98,Valor_normalizado!Q$98:Q$129,0),"NA"))</f>
        <v>32</v>
      </c>
      <c r="R98" s="66">
        <f>IF(Valor_normalizado!R98=0,32,IFERROR(RANK(Valor_normalizado!R98,Valor_normalizado!R$98:R$129,0),"NA"))</f>
        <v>27</v>
      </c>
      <c r="S98" s="66">
        <f>IF(Valor_normalizado!S98=0,32,IFERROR(RANK(Valor_normalizado!S98,Valor_normalizado!S$98:S$129,0),"NA"))</f>
        <v>32</v>
      </c>
      <c r="T98" s="66">
        <f>IF(Valor_normalizado!T98=0,32,IFERROR(RANK(Valor_normalizado!T98,Valor_normalizado!T$98:T$129,0),"NA"))</f>
        <v>32</v>
      </c>
      <c r="U98" s="66">
        <f>IF(Valor_normalizado!U98=0,32,IFERROR(RANK(Valor_normalizado!U98,Valor_normalizado!U$98:U$129,0),"NA"))</f>
        <v>32</v>
      </c>
      <c r="V98" s="66">
        <f>IF(Valor_normalizado!V98=0,32,IFERROR(RANK(Valor_normalizado!V98,Valor_normalizado!V$98:V$129,0),"NA"))</f>
        <v>28</v>
      </c>
      <c r="W98" s="66">
        <f>IF(Valor_normalizado!W98=0,32,IFERROR(RANK(Valor_normalizado!W98,Valor_normalizado!W$98:W$129,0),"NA"))</f>
        <v>28</v>
      </c>
      <c r="X98" s="66">
        <f>IF(Valor_normalizado!X98=0,32,IFERROR(RANK(Valor_normalizado!X98,Valor_normalizado!X$98:X$129,0),"NA"))</f>
        <v>27</v>
      </c>
      <c r="Y98" s="66">
        <f>IF(Valor_normalizado!Y98=0,32,IFERROR(RANK(Valor_normalizado!Y98,Valor_normalizado!Y$98:Y$129,0),"NA"))</f>
        <v>26</v>
      </c>
    </row>
    <row r="99" ht="14.25" hidden="1" customHeight="1">
      <c r="A99" s="51" t="s">
        <v>306</v>
      </c>
      <c r="B99" s="23">
        <v>2022.0</v>
      </c>
      <c r="C99" s="66">
        <f>IF(Valor_normalizado!C99=0,32,IFERROR(RANK(Valor_normalizado!C99,Valor_normalizado!C$98:C$129,0),"NA"))</f>
        <v>1</v>
      </c>
      <c r="D99" s="66">
        <f>IF(Valor_normalizado!D99=0,32,IFERROR(RANK(Valor_normalizado!D99,Valor_normalizado!D$98:D$129,0),"NA"))</f>
        <v>15</v>
      </c>
      <c r="E99" s="66">
        <f>IF(Valor_normalizado!E99=0,32,IFERROR(RANK(Valor_normalizado!E99,Valor_normalizado!E$98:E$129,0),"NA"))</f>
        <v>6</v>
      </c>
      <c r="F99" s="66">
        <f>IF(Valor_normalizado!F99=0,32,IFERROR(RANK(Valor_normalizado!F99,Valor_normalizado!F$98:F$129,0),"NA"))</f>
        <v>13</v>
      </c>
      <c r="G99" s="66">
        <f>IF(Valor_normalizado!G99=0,32,IFERROR(RANK(Valor_normalizado!G99,Valor_normalizado!G$98:G$129,0),"NA"))</f>
        <v>6</v>
      </c>
      <c r="H99" s="66">
        <f>IF(Valor_normalizado!H99=0,32,IFERROR(RANK(Valor_normalizado!H99,Valor_normalizado!H$98:H$129,0),"NA"))</f>
        <v>5</v>
      </c>
      <c r="I99" s="66">
        <f>IF(Valor_normalizado!I99=0,32,IFERROR(RANK(Valor_normalizado!I99,Valor_normalizado!I$98:I$129,0),"NA"))</f>
        <v>7</v>
      </c>
      <c r="J99" s="66">
        <f>IF(Valor_normalizado!J99=0,32,IFERROR(RANK(Valor_normalizado!J99,Valor_normalizado!J$98:J$129,0),"NA"))</f>
        <v>26</v>
      </c>
      <c r="K99" s="66">
        <f>IF(Valor_normalizado!K99=0,32,IFERROR(RANK(Valor_normalizado!K99,Valor_normalizado!K$98:K$129,0),"NA"))</f>
        <v>9</v>
      </c>
      <c r="L99" s="66">
        <f>IF(Valor_normalizado!L99=0,32,IFERROR(RANK(Valor_normalizado!L99,Valor_normalizado!L$98:L$129,0),"NA"))</f>
        <v>8</v>
      </c>
      <c r="M99" s="66">
        <f>IF(Valor_normalizado!M99=0,32,IFERROR(RANK(Valor_normalizado!M99,Valor_normalizado!M$98:M$129,0),"NA"))</f>
        <v>17</v>
      </c>
      <c r="N99" s="66">
        <f>IF(Valor_normalizado!N99=0,32,IFERROR(RANK(Valor_normalizado!N99,Valor_normalizado!N$98:N$129,0),"NA"))</f>
        <v>32</v>
      </c>
      <c r="O99" s="66">
        <f>IF(Valor_normalizado!O99=0,32,IFERROR(RANK(Valor_normalizado!O99,Valor_normalizado!O$98:O$129,0),"NA"))</f>
        <v>9</v>
      </c>
      <c r="P99" s="66">
        <f>IF(Valor_normalizado!P99=0,32,IFERROR(RANK(Valor_normalizado!P99,Valor_normalizado!P$98:P$129,0),"NA"))</f>
        <v>14</v>
      </c>
      <c r="Q99" s="66">
        <f>IF(Valor_normalizado!Q99=0,32,IFERROR(RANK(Valor_normalizado!Q99,Valor_normalizado!Q$98:Q$129,0),"NA"))</f>
        <v>23</v>
      </c>
      <c r="R99" s="66">
        <f>IF(Valor_normalizado!R99=0,32,IFERROR(RANK(Valor_normalizado!R99,Valor_normalizado!R$98:R$129,0),"NA"))</f>
        <v>18</v>
      </c>
      <c r="S99" s="66">
        <f>IF(Valor_normalizado!S99=0,32,IFERROR(RANK(Valor_normalizado!S99,Valor_normalizado!S$98:S$129,0),"NA"))</f>
        <v>1</v>
      </c>
      <c r="T99" s="66">
        <f>IF(Valor_normalizado!T99=0,32,IFERROR(RANK(Valor_normalizado!T99,Valor_normalizado!T$98:T$129,0),"NA"))</f>
        <v>1</v>
      </c>
      <c r="U99" s="66">
        <f>IF(Valor_normalizado!U99=0,32,IFERROR(RANK(Valor_normalizado!U99,Valor_normalizado!U$98:U$129,0),"NA"))</f>
        <v>8</v>
      </c>
      <c r="V99" s="66">
        <f>IF(Valor_normalizado!V99=0,32,IFERROR(RANK(Valor_normalizado!V99,Valor_normalizado!V$98:V$129,0),"NA"))</f>
        <v>11</v>
      </c>
      <c r="W99" s="66">
        <f>IF(Valor_normalizado!W99=0,32,IFERROR(RANK(Valor_normalizado!W99,Valor_normalizado!W$98:W$129,0),"NA"))</f>
        <v>3</v>
      </c>
      <c r="X99" s="66">
        <f>IF(Valor_normalizado!X99=0,32,IFERROR(RANK(Valor_normalizado!X99,Valor_normalizado!X$98:X$129,0),"NA"))</f>
        <v>7</v>
      </c>
      <c r="Y99" s="66">
        <f>IF(Valor_normalizado!Y99=0,32,IFERROR(RANK(Valor_normalizado!Y99,Valor_normalizado!Y$98:Y$129,0),"NA"))</f>
        <v>10</v>
      </c>
    </row>
    <row r="100" ht="14.25" hidden="1" customHeight="1">
      <c r="A100" s="49" t="s">
        <v>320</v>
      </c>
      <c r="B100" s="23">
        <v>2022.0</v>
      </c>
      <c r="C100" s="66">
        <f>IF(Valor_normalizado!C100=0,32,IFERROR(RANK(Valor_normalizado!C100,Valor_normalizado!C$98:C$129,0),"NA"))</f>
        <v>16</v>
      </c>
      <c r="D100" s="66">
        <f>IF(Valor_normalizado!D100=0,32,IFERROR(RANK(Valor_normalizado!D100,Valor_normalizado!D$98:D$129,0),"NA"))</f>
        <v>8</v>
      </c>
      <c r="E100" s="66">
        <f>IF(Valor_normalizado!E100=0,32,IFERROR(RANK(Valor_normalizado!E100,Valor_normalizado!E$98:E$129,0),"NA"))</f>
        <v>11</v>
      </c>
      <c r="F100" s="66">
        <f>IF(Valor_normalizado!F100=0,32,IFERROR(RANK(Valor_normalizado!F100,Valor_normalizado!F$98:F$129,0),"NA"))</f>
        <v>12</v>
      </c>
      <c r="G100" s="66">
        <f>IF(Valor_normalizado!G100=0,32,IFERROR(RANK(Valor_normalizado!G100,Valor_normalizado!G$98:G$129,0),"NA"))</f>
        <v>13</v>
      </c>
      <c r="H100" s="66">
        <f>IF(Valor_normalizado!H100=0,32,IFERROR(RANK(Valor_normalizado!H100,Valor_normalizado!H$98:H$129,0),"NA"))</f>
        <v>14</v>
      </c>
      <c r="I100" s="66">
        <f>IF(Valor_normalizado!I100=0,32,IFERROR(RANK(Valor_normalizado!I100,Valor_normalizado!I$98:I$129,0),"NA"))</f>
        <v>9</v>
      </c>
      <c r="J100" s="66">
        <f>IF(Valor_normalizado!J100=0,32,IFERROR(RANK(Valor_normalizado!J100,Valor_normalizado!J$98:J$129,0),"NA"))</f>
        <v>8</v>
      </c>
      <c r="K100" s="66">
        <f>IF(Valor_normalizado!K100=0,32,IFERROR(RANK(Valor_normalizado!K100,Valor_normalizado!K$98:K$129,0),"NA"))</f>
        <v>8</v>
      </c>
      <c r="L100" s="66">
        <f>IF(Valor_normalizado!L100=0,32,IFERROR(RANK(Valor_normalizado!L100,Valor_normalizado!L$98:L$129,0),"NA"))</f>
        <v>11</v>
      </c>
      <c r="M100" s="66">
        <f>IF(Valor_normalizado!M100=0,32,IFERROR(RANK(Valor_normalizado!M100,Valor_normalizado!M$98:M$129,0),"NA"))</f>
        <v>8</v>
      </c>
      <c r="N100" s="66">
        <f>IF(Valor_normalizado!N100=0,32,IFERROR(RANK(Valor_normalizado!N100,Valor_normalizado!N$98:N$129,0),"NA"))</f>
        <v>4</v>
      </c>
      <c r="O100" s="66">
        <f>IF(Valor_normalizado!O100=0,32,IFERROR(RANK(Valor_normalizado!O100,Valor_normalizado!O$98:O$129,0),"NA"))</f>
        <v>7</v>
      </c>
      <c r="P100" s="66">
        <f>IF(Valor_normalizado!P100=0,32,IFERROR(RANK(Valor_normalizado!P100,Valor_normalizado!P$98:P$129,0),"NA"))</f>
        <v>5</v>
      </c>
      <c r="Q100" s="66">
        <f>IF(Valor_normalizado!Q100=0,32,IFERROR(RANK(Valor_normalizado!Q100,Valor_normalizado!Q$98:Q$129,0),"NA"))</f>
        <v>20</v>
      </c>
      <c r="R100" s="66">
        <f>IF(Valor_normalizado!R100=0,32,IFERROR(RANK(Valor_normalizado!R100,Valor_normalizado!R$98:R$129,0),"NA"))</f>
        <v>5</v>
      </c>
      <c r="S100" s="66">
        <f>IF(Valor_normalizado!S100=0,32,IFERROR(RANK(Valor_normalizado!S100,Valor_normalizado!S$98:S$129,0),"NA"))</f>
        <v>11</v>
      </c>
      <c r="T100" s="66">
        <f>IF(Valor_normalizado!T100=0,32,IFERROR(RANK(Valor_normalizado!T100,Valor_normalizado!T$98:T$129,0),"NA"))</f>
        <v>10</v>
      </c>
      <c r="U100" s="66">
        <f>IF(Valor_normalizado!U100=0,32,IFERROR(RANK(Valor_normalizado!U100,Valor_normalizado!U$98:U$129,0),"NA"))</f>
        <v>14</v>
      </c>
      <c r="V100" s="66">
        <f>IF(Valor_normalizado!V100=0,32,IFERROR(RANK(Valor_normalizado!V100,Valor_normalizado!V$98:V$129,0),"NA"))</f>
        <v>8</v>
      </c>
      <c r="W100" s="66">
        <f>IF(Valor_normalizado!W100=0,32,IFERROR(RANK(Valor_normalizado!W100,Valor_normalizado!W$98:W$129,0),"NA"))</f>
        <v>11</v>
      </c>
      <c r="X100" s="66">
        <f>IF(Valor_normalizado!X100=0,32,IFERROR(RANK(Valor_normalizado!X100,Valor_normalizado!X$98:X$129,0),"NA"))</f>
        <v>10</v>
      </c>
      <c r="Y100" s="66">
        <f>IF(Valor_normalizado!Y100=0,32,IFERROR(RANK(Valor_normalizado!Y100,Valor_normalizado!Y$98:Y$129,0),"NA"))</f>
        <v>8</v>
      </c>
    </row>
    <row r="101" ht="14.25" hidden="1" customHeight="1">
      <c r="A101" s="51" t="s">
        <v>305</v>
      </c>
      <c r="B101" s="23">
        <v>2022.0</v>
      </c>
      <c r="C101" s="66">
        <f>IF(Valor_normalizado!C101=0,32,IFERROR(RANK(Valor_normalizado!C101,Valor_normalizado!C$98:C$129,0),"NA"))</f>
        <v>2</v>
      </c>
      <c r="D101" s="66">
        <f>IF(Valor_normalizado!D101=0,32,IFERROR(RANK(Valor_normalizado!D101,Valor_normalizado!D$98:D$129,0),"NA"))</f>
        <v>1</v>
      </c>
      <c r="E101" s="66">
        <f>IF(Valor_normalizado!E101=0,32,IFERROR(RANK(Valor_normalizado!E101,Valor_normalizado!E$98:E$129,0),"NA"))</f>
        <v>1</v>
      </c>
      <c r="F101" s="66">
        <f>IF(Valor_normalizado!F101=0,32,IFERROR(RANK(Valor_normalizado!F101,Valor_normalizado!F$98:F$129,0),"NA"))</f>
        <v>2</v>
      </c>
      <c r="G101" s="66">
        <f>IF(Valor_normalizado!G101=0,32,IFERROR(RANK(Valor_normalizado!G101,Valor_normalizado!G$98:G$129,0),"NA"))</f>
        <v>1</v>
      </c>
      <c r="H101" s="66">
        <f>IF(Valor_normalizado!H101=0,32,IFERROR(RANK(Valor_normalizado!H101,Valor_normalizado!H$98:H$129,0),"NA"))</f>
        <v>3</v>
      </c>
      <c r="I101" s="66">
        <f>IF(Valor_normalizado!I101=0,32,IFERROR(RANK(Valor_normalizado!I101,Valor_normalizado!I$98:I$129,0),"NA"))</f>
        <v>4</v>
      </c>
      <c r="J101" s="66">
        <f>IF(Valor_normalizado!J101=0,32,IFERROR(RANK(Valor_normalizado!J101,Valor_normalizado!J$98:J$129,0),"NA"))</f>
        <v>3</v>
      </c>
      <c r="K101" s="66">
        <f>IF(Valor_normalizado!K101=0,32,IFERROR(RANK(Valor_normalizado!K101,Valor_normalizado!K$98:K$129,0),"NA"))</f>
        <v>2</v>
      </c>
      <c r="L101" s="66">
        <f>IF(Valor_normalizado!L101=0,32,IFERROR(RANK(Valor_normalizado!L101,Valor_normalizado!L$98:L$129,0),"NA"))</f>
        <v>2</v>
      </c>
      <c r="M101" s="66">
        <f>IF(Valor_normalizado!M101=0,32,IFERROR(RANK(Valor_normalizado!M101,Valor_normalizado!M$98:M$129,0),"NA"))</f>
        <v>4</v>
      </c>
      <c r="N101" s="66">
        <f>IF(Valor_normalizado!N101=0,32,IFERROR(RANK(Valor_normalizado!N101,Valor_normalizado!N$98:N$129,0),"NA"))</f>
        <v>3</v>
      </c>
      <c r="O101" s="66">
        <f>IF(Valor_normalizado!O101=0,32,IFERROR(RANK(Valor_normalizado!O101,Valor_normalizado!O$98:O$129,0),"NA"))</f>
        <v>4</v>
      </c>
      <c r="P101" s="66">
        <f>IF(Valor_normalizado!P101=0,32,IFERROR(RANK(Valor_normalizado!P101,Valor_normalizado!P$98:P$129,0),"NA"))</f>
        <v>2</v>
      </c>
      <c r="Q101" s="66">
        <f>IF(Valor_normalizado!Q101=0,32,IFERROR(RANK(Valor_normalizado!Q101,Valor_normalizado!Q$98:Q$129,0),"NA"))</f>
        <v>15</v>
      </c>
      <c r="R101" s="66">
        <f>IF(Valor_normalizado!R101=0,32,IFERROR(RANK(Valor_normalizado!R101,Valor_normalizado!R$98:R$129,0),"NA"))</f>
        <v>3</v>
      </c>
      <c r="S101" s="66">
        <f>IF(Valor_normalizado!S101=0,32,IFERROR(RANK(Valor_normalizado!S101,Valor_normalizado!S$98:S$129,0),"NA"))</f>
        <v>5</v>
      </c>
      <c r="T101" s="66">
        <f>IF(Valor_normalizado!T101=0,32,IFERROR(RANK(Valor_normalizado!T101,Valor_normalizado!T$98:T$129,0),"NA"))</f>
        <v>2</v>
      </c>
      <c r="U101" s="66">
        <f>IF(Valor_normalizado!U101=0,32,IFERROR(RANK(Valor_normalizado!U101,Valor_normalizado!U$98:U$129,0),"NA"))</f>
        <v>4</v>
      </c>
      <c r="V101" s="66">
        <f>IF(Valor_normalizado!V101=0,32,IFERROR(RANK(Valor_normalizado!V101,Valor_normalizado!V$98:V$129,0),"NA"))</f>
        <v>2</v>
      </c>
      <c r="W101" s="66">
        <f>IF(Valor_normalizado!W101=0,32,IFERROR(RANK(Valor_normalizado!W101,Valor_normalizado!W$98:W$129,0),"NA"))</f>
        <v>1</v>
      </c>
      <c r="X101" s="66">
        <f>IF(Valor_normalizado!X101=0,32,IFERROR(RANK(Valor_normalizado!X101,Valor_normalizado!X$98:X$129,0),"NA"))</f>
        <v>2</v>
      </c>
      <c r="Y101" s="66">
        <f>IF(Valor_normalizado!Y101=0,32,IFERROR(RANK(Valor_normalizado!Y101,Valor_normalizado!Y$98:Y$129,0),"NA"))</f>
        <v>1</v>
      </c>
    </row>
    <row r="102" ht="14.25" hidden="1" customHeight="1">
      <c r="A102" s="49" t="s">
        <v>310</v>
      </c>
      <c r="B102" s="23">
        <v>2022.0</v>
      </c>
      <c r="C102" s="66">
        <f>IF(Valor_normalizado!C102=0,32,IFERROR(RANK(Valor_normalizado!C102,Valor_normalizado!C$98:C$129,0),"NA"))</f>
        <v>8</v>
      </c>
      <c r="D102" s="66">
        <f>IF(Valor_normalizado!D102=0,32,IFERROR(RANK(Valor_normalizado!D102,Valor_normalizado!D$98:D$129,0),"NA"))</f>
        <v>5</v>
      </c>
      <c r="E102" s="66">
        <f>IF(Valor_normalizado!E102=0,32,IFERROR(RANK(Valor_normalizado!E102,Valor_normalizado!E$98:E$129,0),"NA"))</f>
        <v>9</v>
      </c>
      <c r="F102" s="66">
        <f>IF(Valor_normalizado!F102=0,32,IFERROR(RANK(Valor_normalizado!F102,Valor_normalizado!F$98:F$129,0),"NA"))</f>
        <v>7</v>
      </c>
      <c r="G102" s="66">
        <f>IF(Valor_normalizado!G102=0,32,IFERROR(RANK(Valor_normalizado!G102,Valor_normalizado!G$98:G$129,0),"NA"))</f>
        <v>7</v>
      </c>
      <c r="H102" s="66">
        <f>IF(Valor_normalizado!H102=0,32,IFERROR(RANK(Valor_normalizado!H102,Valor_normalizado!H$98:H$129,0),"NA"))</f>
        <v>8</v>
      </c>
      <c r="I102" s="66">
        <f>IF(Valor_normalizado!I102=0,32,IFERROR(RANK(Valor_normalizado!I102,Valor_normalizado!I$98:I$129,0),"NA"))</f>
        <v>8</v>
      </c>
      <c r="J102" s="66">
        <f>IF(Valor_normalizado!J102=0,32,IFERROR(RANK(Valor_normalizado!J102,Valor_normalizado!J$98:J$129,0),"NA"))</f>
        <v>7</v>
      </c>
      <c r="K102" s="66">
        <f>IF(Valor_normalizado!K102=0,32,IFERROR(RANK(Valor_normalizado!K102,Valor_normalizado!K$98:K$129,0),"NA"))</f>
        <v>7</v>
      </c>
      <c r="L102" s="66">
        <f>IF(Valor_normalizado!L102=0,32,IFERROR(RANK(Valor_normalizado!L102,Valor_normalizado!L$98:L$129,0),"NA"))</f>
        <v>6</v>
      </c>
      <c r="M102" s="66">
        <f>IF(Valor_normalizado!M102=0,32,IFERROR(RANK(Valor_normalizado!M102,Valor_normalizado!M$98:M$129,0),"NA"))</f>
        <v>5</v>
      </c>
      <c r="N102" s="66">
        <f>IF(Valor_normalizado!N102=0,32,IFERROR(RANK(Valor_normalizado!N102,Valor_normalizado!N$98:N$129,0),"NA"))</f>
        <v>9</v>
      </c>
      <c r="O102" s="66">
        <f>IF(Valor_normalizado!O102=0,32,IFERROR(RANK(Valor_normalizado!O102,Valor_normalizado!O$98:O$129,0),"NA"))</f>
        <v>6</v>
      </c>
      <c r="P102" s="66">
        <f>IF(Valor_normalizado!P102=0,32,IFERROR(RANK(Valor_normalizado!P102,Valor_normalizado!P$98:P$129,0),"NA"))</f>
        <v>9</v>
      </c>
      <c r="Q102" s="66">
        <f>IF(Valor_normalizado!Q102=0,32,IFERROR(RANK(Valor_normalizado!Q102,Valor_normalizado!Q$98:Q$129,0),"NA"))</f>
        <v>18</v>
      </c>
      <c r="R102" s="66">
        <f>IF(Valor_normalizado!R102=0,32,IFERROR(RANK(Valor_normalizado!R102,Valor_normalizado!R$98:R$129,0),"NA"))</f>
        <v>8</v>
      </c>
      <c r="S102" s="66">
        <f>IF(Valor_normalizado!S102=0,32,IFERROR(RANK(Valor_normalizado!S102,Valor_normalizado!S$98:S$129,0),"NA"))</f>
        <v>2</v>
      </c>
      <c r="T102" s="66">
        <f>IF(Valor_normalizado!T102=0,32,IFERROR(RANK(Valor_normalizado!T102,Valor_normalizado!T$98:T$129,0),"NA"))</f>
        <v>5</v>
      </c>
      <c r="U102" s="66">
        <f>IF(Valor_normalizado!U102=0,32,IFERROR(RANK(Valor_normalizado!U102,Valor_normalizado!U$98:U$129,0),"NA"))</f>
        <v>10</v>
      </c>
      <c r="V102" s="66">
        <f>IF(Valor_normalizado!V102=0,32,IFERROR(RANK(Valor_normalizado!V102,Valor_normalizado!V$98:V$129,0),"NA"))</f>
        <v>7</v>
      </c>
      <c r="W102" s="66">
        <f>IF(Valor_normalizado!W102=0,32,IFERROR(RANK(Valor_normalizado!W102,Valor_normalizado!W$98:W$129,0),"NA"))</f>
        <v>5</v>
      </c>
      <c r="X102" s="66">
        <f>IF(Valor_normalizado!X102=0,32,IFERROR(RANK(Valor_normalizado!X102,Valor_normalizado!X$98:X$129,0),"NA"))</f>
        <v>5</v>
      </c>
      <c r="Y102" s="66">
        <f>IF(Valor_normalizado!Y102=0,32,IFERROR(RANK(Valor_normalizado!Y102,Valor_normalizado!Y$98:Y$129,0),"NA"))</f>
        <v>5</v>
      </c>
    </row>
    <row r="103" ht="14.25" hidden="1" customHeight="1">
      <c r="A103" s="51" t="s">
        <v>311</v>
      </c>
      <c r="B103" s="23">
        <v>2022.0</v>
      </c>
      <c r="C103" s="66">
        <f>IF(Valor_normalizado!C103=0,32,IFERROR(RANK(Valor_normalizado!C103,Valor_normalizado!C$98:C$129,0),"NA"))</f>
        <v>9</v>
      </c>
      <c r="D103" s="66">
        <f>IF(Valor_normalizado!D103=0,32,IFERROR(RANK(Valor_normalizado!D103,Valor_normalizado!D$98:D$129,0),"NA"))</f>
        <v>3</v>
      </c>
      <c r="E103" s="66">
        <f>IF(Valor_normalizado!E103=0,32,IFERROR(RANK(Valor_normalizado!E103,Valor_normalizado!E$98:E$129,0),"NA"))</f>
        <v>7</v>
      </c>
      <c r="F103" s="66">
        <f>IF(Valor_normalizado!F103=0,32,IFERROR(RANK(Valor_normalizado!F103,Valor_normalizado!F$98:F$129,0),"NA"))</f>
        <v>3</v>
      </c>
      <c r="G103" s="66">
        <f>IF(Valor_normalizado!G103=0,32,IFERROR(RANK(Valor_normalizado!G103,Valor_normalizado!G$98:G$129,0),"NA"))</f>
        <v>3</v>
      </c>
      <c r="H103" s="66">
        <f>IF(Valor_normalizado!H103=0,32,IFERROR(RANK(Valor_normalizado!H103,Valor_normalizado!H$98:H$129,0),"NA"))</f>
        <v>16</v>
      </c>
      <c r="I103" s="66">
        <f>IF(Valor_normalizado!I103=0,32,IFERROR(RANK(Valor_normalizado!I103,Valor_normalizado!I$98:I$129,0),"NA"))</f>
        <v>16</v>
      </c>
      <c r="J103" s="66">
        <f>IF(Valor_normalizado!J103=0,32,IFERROR(RANK(Valor_normalizado!J103,Valor_normalizado!J$98:J$129,0),"NA"))</f>
        <v>6</v>
      </c>
      <c r="K103" s="66">
        <f>IF(Valor_normalizado!K103=0,32,IFERROR(RANK(Valor_normalizado!K103,Valor_normalizado!K$98:K$129,0),"NA"))</f>
        <v>12</v>
      </c>
      <c r="L103" s="66">
        <f>IF(Valor_normalizado!L103=0,32,IFERROR(RANK(Valor_normalizado!L103,Valor_normalizado!L$98:L$129,0),"NA"))</f>
        <v>10</v>
      </c>
      <c r="M103" s="66">
        <f>IF(Valor_normalizado!M103=0,32,IFERROR(RANK(Valor_normalizado!M103,Valor_normalizado!M$98:M$129,0),"NA"))</f>
        <v>9</v>
      </c>
      <c r="N103" s="66">
        <f>IF(Valor_normalizado!N103=0,32,IFERROR(RANK(Valor_normalizado!N103,Valor_normalizado!N$98:N$129,0),"NA"))</f>
        <v>8</v>
      </c>
      <c r="O103" s="66">
        <f>IF(Valor_normalizado!O103=0,32,IFERROR(RANK(Valor_normalizado!O103,Valor_normalizado!O$98:O$129,0),"NA"))</f>
        <v>10</v>
      </c>
      <c r="P103" s="66">
        <f>IF(Valor_normalizado!P103=0,32,IFERROR(RANK(Valor_normalizado!P103,Valor_normalizado!P$98:P$129,0),"NA"))</f>
        <v>11</v>
      </c>
      <c r="Q103" s="66">
        <f>IF(Valor_normalizado!Q103=0,32,IFERROR(RANK(Valor_normalizado!Q103,Valor_normalizado!Q$98:Q$129,0),"NA"))</f>
        <v>9</v>
      </c>
      <c r="R103" s="66">
        <f>IF(Valor_normalizado!R103=0,32,IFERROR(RANK(Valor_normalizado!R103,Valor_normalizado!R$98:R$129,0),"NA"))</f>
        <v>9</v>
      </c>
      <c r="S103" s="66">
        <f>IF(Valor_normalizado!S103=0,32,IFERROR(RANK(Valor_normalizado!S103,Valor_normalizado!S$98:S$129,0),"NA"))</f>
        <v>10</v>
      </c>
      <c r="T103" s="66">
        <f>IF(Valor_normalizado!T103=0,32,IFERROR(RANK(Valor_normalizado!T103,Valor_normalizado!T$98:T$129,0),"NA"))</f>
        <v>15</v>
      </c>
      <c r="U103" s="66">
        <f>IF(Valor_normalizado!U103=0,32,IFERROR(RANK(Valor_normalizado!U103,Valor_normalizado!U$98:U$129,0),"NA"))</f>
        <v>6</v>
      </c>
      <c r="V103" s="66">
        <f>IF(Valor_normalizado!V103=0,32,IFERROR(RANK(Valor_normalizado!V103,Valor_normalizado!V$98:V$129,0),"NA"))</f>
        <v>3</v>
      </c>
      <c r="W103" s="66">
        <f>IF(Valor_normalizado!W103=0,32,IFERROR(RANK(Valor_normalizado!W103,Valor_normalizado!W$98:W$129,0),"NA"))</f>
        <v>9</v>
      </c>
      <c r="X103" s="66">
        <f>IF(Valor_normalizado!X103=0,32,IFERROR(RANK(Valor_normalizado!X103,Valor_normalizado!X$98:X$129,0),"NA"))</f>
        <v>9</v>
      </c>
      <c r="Y103" s="66">
        <f>IF(Valor_normalizado!Y103=0,32,IFERROR(RANK(Valor_normalizado!Y103,Valor_normalizado!Y$98:Y$129,0),"NA"))</f>
        <v>4</v>
      </c>
    </row>
    <row r="104" ht="14.25" hidden="1" customHeight="1">
      <c r="A104" s="49" t="s">
        <v>318</v>
      </c>
      <c r="B104" s="23">
        <v>2022.0</v>
      </c>
      <c r="C104" s="66">
        <f>IF(Valor_normalizado!C104=0,32,IFERROR(RANK(Valor_normalizado!C104,Valor_normalizado!C$98:C$129,0),"NA"))</f>
        <v>17</v>
      </c>
      <c r="D104" s="66">
        <f>IF(Valor_normalizado!D104=0,32,IFERROR(RANK(Valor_normalizado!D104,Valor_normalizado!D$98:D$129,0),"NA"))</f>
        <v>9</v>
      </c>
      <c r="E104" s="66">
        <f>IF(Valor_normalizado!E104=0,32,IFERROR(RANK(Valor_normalizado!E104,Valor_normalizado!E$98:E$129,0),"NA"))</f>
        <v>20</v>
      </c>
      <c r="F104" s="66">
        <f>IF(Valor_normalizado!F104=0,32,IFERROR(RANK(Valor_normalizado!F104,Valor_normalizado!F$98:F$129,0),"NA"))</f>
        <v>20</v>
      </c>
      <c r="G104" s="66">
        <f>IF(Valor_normalizado!G104=0,32,IFERROR(RANK(Valor_normalizado!G104,Valor_normalizado!G$98:G$129,0),"NA"))</f>
        <v>17</v>
      </c>
      <c r="H104" s="66">
        <f>IF(Valor_normalizado!H104=0,32,IFERROR(RANK(Valor_normalizado!H104,Valor_normalizado!H$98:H$129,0),"NA"))</f>
        <v>21</v>
      </c>
      <c r="I104" s="66">
        <f>IF(Valor_normalizado!I104=0,32,IFERROR(RANK(Valor_normalizado!I104,Valor_normalizado!I$98:I$129,0),"NA"))</f>
        <v>15</v>
      </c>
      <c r="J104" s="66">
        <f>IF(Valor_normalizado!J104=0,32,IFERROR(RANK(Valor_normalizado!J104,Valor_normalizado!J$98:J$129,0),"NA"))</f>
        <v>18</v>
      </c>
      <c r="K104" s="66">
        <f>IF(Valor_normalizado!K104=0,32,IFERROR(RANK(Valor_normalizado!K104,Valor_normalizado!K$98:K$129,0),"NA"))</f>
        <v>18</v>
      </c>
      <c r="L104" s="66">
        <f>IF(Valor_normalizado!L104=0,32,IFERROR(RANK(Valor_normalizado!L104,Valor_normalizado!L$98:L$129,0),"NA"))</f>
        <v>16</v>
      </c>
      <c r="M104" s="66">
        <f>IF(Valor_normalizado!M104=0,32,IFERROR(RANK(Valor_normalizado!M104,Valor_normalizado!M$98:M$129,0),"NA"))</f>
        <v>13</v>
      </c>
      <c r="N104" s="66">
        <f>IF(Valor_normalizado!N104=0,32,IFERROR(RANK(Valor_normalizado!N104,Valor_normalizado!N$98:N$129,0),"NA"))</f>
        <v>13</v>
      </c>
      <c r="O104" s="66">
        <f>IF(Valor_normalizado!O104=0,32,IFERROR(RANK(Valor_normalizado!O104,Valor_normalizado!O$98:O$129,0),"NA"))</f>
        <v>14</v>
      </c>
      <c r="P104" s="66">
        <f>IF(Valor_normalizado!P104=0,32,IFERROR(RANK(Valor_normalizado!P104,Valor_normalizado!P$98:P$129,0),"NA"))</f>
        <v>32</v>
      </c>
      <c r="Q104" s="66">
        <f>IF(Valor_normalizado!Q104=0,32,IFERROR(RANK(Valor_normalizado!Q104,Valor_normalizado!Q$98:Q$129,0),"NA"))</f>
        <v>6</v>
      </c>
      <c r="R104" s="66">
        <f>IF(Valor_normalizado!R104=0,32,IFERROR(RANK(Valor_normalizado!R104,Valor_normalizado!R$98:R$129,0),"NA"))</f>
        <v>19</v>
      </c>
      <c r="S104" s="66">
        <f>IF(Valor_normalizado!S104=0,32,IFERROR(RANK(Valor_normalizado!S104,Valor_normalizado!S$98:S$129,0),"NA"))</f>
        <v>16</v>
      </c>
      <c r="T104" s="66">
        <f>IF(Valor_normalizado!T104=0,32,IFERROR(RANK(Valor_normalizado!T104,Valor_normalizado!T$98:T$129,0),"NA"))</f>
        <v>18</v>
      </c>
      <c r="U104" s="66">
        <f>IF(Valor_normalizado!U104=0,32,IFERROR(RANK(Valor_normalizado!U104,Valor_normalizado!U$98:U$129,0),"NA"))</f>
        <v>7</v>
      </c>
      <c r="V104" s="66">
        <f>IF(Valor_normalizado!V104=0,32,IFERROR(RANK(Valor_normalizado!V104,Valor_normalizado!V$98:V$129,0),"NA"))</f>
        <v>12</v>
      </c>
      <c r="W104" s="66">
        <f>IF(Valor_normalizado!W104=0,32,IFERROR(RANK(Valor_normalizado!W104,Valor_normalizado!W$98:W$129,0),"NA"))</f>
        <v>14</v>
      </c>
      <c r="X104" s="66">
        <f>IF(Valor_normalizado!X104=0,32,IFERROR(RANK(Valor_normalizado!X104,Valor_normalizado!X$98:X$129,0),"NA"))</f>
        <v>18</v>
      </c>
      <c r="Y104" s="66">
        <f>IF(Valor_normalizado!Y104=0,32,IFERROR(RANK(Valor_normalizado!Y104,Valor_normalizado!Y$98:Y$129,0),"NA"))</f>
        <v>13</v>
      </c>
    </row>
    <row r="105" ht="14.25" hidden="1" customHeight="1">
      <c r="A105" s="51" t="s">
        <v>324</v>
      </c>
      <c r="B105" s="23">
        <v>2022.0</v>
      </c>
      <c r="C105" s="66">
        <f>IF(Valor_normalizado!C105=0,32,IFERROR(RANK(Valor_normalizado!C105,Valor_normalizado!C$98:C$129,0),"NA"))</f>
        <v>18</v>
      </c>
      <c r="D105" s="66">
        <f>IF(Valor_normalizado!D105=0,32,IFERROR(RANK(Valor_normalizado!D105,Valor_normalizado!D$98:D$129,0),"NA"))</f>
        <v>11</v>
      </c>
      <c r="E105" s="66">
        <f>IF(Valor_normalizado!E105=0,32,IFERROR(RANK(Valor_normalizado!E105,Valor_normalizado!E$98:E$129,0),"NA"))</f>
        <v>17</v>
      </c>
      <c r="F105" s="66">
        <f>IF(Valor_normalizado!F105=0,32,IFERROR(RANK(Valor_normalizado!F105,Valor_normalizado!F$98:F$129,0),"NA"))</f>
        <v>14</v>
      </c>
      <c r="G105" s="66">
        <f>IF(Valor_normalizado!G105=0,32,IFERROR(RANK(Valor_normalizado!G105,Valor_normalizado!G$98:G$129,0),"NA"))</f>
        <v>16</v>
      </c>
      <c r="H105" s="66">
        <f>IF(Valor_normalizado!H105=0,32,IFERROR(RANK(Valor_normalizado!H105,Valor_normalizado!H$98:H$129,0),"NA"))</f>
        <v>13</v>
      </c>
      <c r="I105" s="66">
        <f>IF(Valor_normalizado!I105=0,32,IFERROR(RANK(Valor_normalizado!I105,Valor_normalizado!I$98:I$129,0),"NA"))</f>
        <v>17</v>
      </c>
      <c r="J105" s="66">
        <f>IF(Valor_normalizado!J105=0,32,IFERROR(RANK(Valor_normalizado!J105,Valor_normalizado!J$98:J$129,0),"NA"))</f>
        <v>17</v>
      </c>
      <c r="K105" s="66">
        <f>IF(Valor_normalizado!K105=0,32,IFERROR(RANK(Valor_normalizado!K105,Valor_normalizado!K$98:K$129,0),"NA"))</f>
        <v>15</v>
      </c>
      <c r="L105" s="66">
        <f>IF(Valor_normalizado!L105=0,32,IFERROR(RANK(Valor_normalizado!L105,Valor_normalizado!L$98:L$129,0),"NA"))</f>
        <v>15</v>
      </c>
      <c r="M105" s="66">
        <f>IF(Valor_normalizado!M105=0,32,IFERROR(RANK(Valor_normalizado!M105,Valor_normalizado!M$98:M$129,0),"NA"))</f>
        <v>21</v>
      </c>
      <c r="N105" s="66">
        <f>IF(Valor_normalizado!N105=0,32,IFERROR(RANK(Valor_normalizado!N105,Valor_normalizado!N$98:N$129,0),"NA"))</f>
        <v>10</v>
      </c>
      <c r="O105" s="66">
        <f>IF(Valor_normalizado!O105=0,32,IFERROR(RANK(Valor_normalizado!O105,Valor_normalizado!O$98:O$129,0),"NA"))</f>
        <v>22</v>
      </c>
      <c r="P105" s="66">
        <f>IF(Valor_normalizado!P105=0,32,IFERROR(RANK(Valor_normalizado!P105,Valor_normalizado!P$98:P$129,0),"NA"))</f>
        <v>7</v>
      </c>
      <c r="Q105" s="66">
        <f>IF(Valor_normalizado!Q105=0,32,IFERROR(RANK(Valor_normalizado!Q105,Valor_normalizado!Q$98:Q$129,0),"NA"))</f>
        <v>16</v>
      </c>
      <c r="R105" s="66">
        <f>IF(Valor_normalizado!R105=0,32,IFERROR(RANK(Valor_normalizado!R105,Valor_normalizado!R$98:R$129,0),"NA"))</f>
        <v>17</v>
      </c>
      <c r="S105" s="66">
        <f>IF(Valor_normalizado!S105=0,32,IFERROR(RANK(Valor_normalizado!S105,Valor_normalizado!S$98:S$129,0),"NA"))</f>
        <v>13</v>
      </c>
      <c r="T105" s="66">
        <f>IF(Valor_normalizado!T105=0,32,IFERROR(RANK(Valor_normalizado!T105,Valor_normalizado!T$98:T$129,0),"NA"))</f>
        <v>19</v>
      </c>
      <c r="U105" s="66">
        <f>IF(Valor_normalizado!U105=0,32,IFERROR(RANK(Valor_normalizado!U105,Valor_normalizado!U$98:U$129,0),"NA"))</f>
        <v>15</v>
      </c>
      <c r="V105" s="66">
        <f>IF(Valor_normalizado!V105=0,32,IFERROR(RANK(Valor_normalizado!V105,Valor_normalizado!V$98:V$129,0),"NA"))</f>
        <v>14</v>
      </c>
      <c r="W105" s="66">
        <f>IF(Valor_normalizado!W105=0,32,IFERROR(RANK(Valor_normalizado!W105,Valor_normalizado!W$98:W$129,0),"NA"))</f>
        <v>17</v>
      </c>
      <c r="X105" s="66">
        <f>IF(Valor_normalizado!X105=0,32,IFERROR(RANK(Valor_normalizado!X105,Valor_normalizado!X$98:X$129,0),"NA"))</f>
        <v>14</v>
      </c>
      <c r="Y105" s="66">
        <f>IF(Valor_normalizado!Y105=0,32,IFERROR(RANK(Valor_normalizado!Y105,Valor_normalizado!Y$98:Y$129,0),"NA"))</f>
        <v>18</v>
      </c>
    </row>
    <row r="106" ht="14.25" hidden="1" customHeight="1">
      <c r="A106" s="49" t="s">
        <v>327</v>
      </c>
      <c r="B106" s="23">
        <v>2022.0</v>
      </c>
      <c r="C106" s="66">
        <f>IF(Valor_normalizado!C106=0,32,IFERROR(RANK(Valor_normalizado!C106,Valor_normalizado!C$98:C$129,0),"NA"))</f>
        <v>20</v>
      </c>
      <c r="D106" s="66">
        <f>IF(Valor_normalizado!D106=0,32,IFERROR(RANK(Valor_normalizado!D106,Valor_normalizado!D$98:D$129,0),"NA"))</f>
        <v>23</v>
      </c>
      <c r="E106" s="66">
        <f>IF(Valor_normalizado!E106=0,32,IFERROR(RANK(Valor_normalizado!E106,Valor_normalizado!E$98:E$129,0),"NA"))</f>
        <v>23</v>
      </c>
      <c r="F106" s="66">
        <f>IF(Valor_normalizado!F106=0,32,IFERROR(RANK(Valor_normalizado!F106,Valor_normalizado!F$98:F$129,0),"NA"))</f>
        <v>21</v>
      </c>
      <c r="G106" s="66">
        <f>IF(Valor_normalizado!G106=0,32,IFERROR(RANK(Valor_normalizado!G106,Valor_normalizado!G$98:G$129,0),"NA"))</f>
        <v>22</v>
      </c>
      <c r="H106" s="66">
        <f>IF(Valor_normalizado!H106=0,32,IFERROR(RANK(Valor_normalizado!H106,Valor_normalizado!H$98:H$129,0),"NA"))</f>
        <v>18</v>
      </c>
      <c r="I106" s="66">
        <f>IF(Valor_normalizado!I106=0,32,IFERROR(RANK(Valor_normalizado!I106,Valor_normalizado!I$98:I$129,0),"NA"))</f>
        <v>27</v>
      </c>
      <c r="J106" s="66">
        <f>IF(Valor_normalizado!J106=0,32,IFERROR(RANK(Valor_normalizado!J106,Valor_normalizado!J$98:J$129,0),"NA"))</f>
        <v>4</v>
      </c>
      <c r="K106" s="66">
        <f>IF(Valor_normalizado!K106=0,32,IFERROR(RANK(Valor_normalizado!K106,Valor_normalizado!K$98:K$129,0),"NA"))</f>
        <v>13</v>
      </c>
      <c r="L106" s="66">
        <f>IF(Valor_normalizado!L106=0,32,IFERROR(RANK(Valor_normalizado!L106,Valor_normalizado!L$98:L$129,0),"NA"))</f>
        <v>20</v>
      </c>
      <c r="M106" s="66">
        <f>IF(Valor_normalizado!M106=0,32,IFERROR(RANK(Valor_normalizado!M106,Valor_normalizado!M$98:M$129,0),"NA"))</f>
        <v>19</v>
      </c>
      <c r="N106" s="66">
        <f>IF(Valor_normalizado!N106=0,32,IFERROR(RANK(Valor_normalizado!N106,Valor_normalizado!N$98:N$129,0),"NA"))</f>
        <v>32</v>
      </c>
      <c r="O106" s="66">
        <f>IF(Valor_normalizado!O106=0,32,IFERROR(RANK(Valor_normalizado!O106,Valor_normalizado!O$98:O$129,0),"NA"))</f>
        <v>20</v>
      </c>
      <c r="P106" s="66">
        <f>IF(Valor_normalizado!P106=0,32,IFERROR(RANK(Valor_normalizado!P106,Valor_normalizado!P$98:P$129,0),"NA"))</f>
        <v>15</v>
      </c>
      <c r="Q106" s="66">
        <f>IF(Valor_normalizado!Q106=0,32,IFERROR(RANK(Valor_normalizado!Q106,Valor_normalizado!Q$98:Q$129,0),"NA"))</f>
        <v>24</v>
      </c>
      <c r="R106" s="66">
        <f>IF(Valor_normalizado!R106=0,32,IFERROR(RANK(Valor_normalizado!R106,Valor_normalizado!R$98:R$129,0),"NA"))</f>
        <v>21</v>
      </c>
      <c r="S106" s="66">
        <f>IF(Valor_normalizado!S106=0,32,IFERROR(RANK(Valor_normalizado!S106,Valor_normalizado!S$98:S$129,0),"NA"))</f>
        <v>32</v>
      </c>
      <c r="T106" s="66">
        <f>IF(Valor_normalizado!T106=0,32,IFERROR(RANK(Valor_normalizado!T106,Valor_normalizado!T$98:T$129,0),"NA"))</f>
        <v>32</v>
      </c>
      <c r="U106" s="66">
        <f>IF(Valor_normalizado!U106=0,32,IFERROR(RANK(Valor_normalizado!U106,Valor_normalizado!U$98:U$129,0),"NA"))</f>
        <v>32</v>
      </c>
      <c r="V106" s="66">
        <f>IF(Valor_normalizado!V106=0,32,IFERROR(RANK(Valor_normalizado!V106,Valor_normalizado!V$98:V$129,0),"NA"))</f>
        <v>29</v>
      </c>
      <c r="W106" s="66">
        <f>IF(Valor_normalizado!W106=0,32,IFERROR(RANK(Valor_normalizado!W106,Valor_normalizado!W$98:W$129,0),"NA"))</f>
        <v>29</v>
      </c>
      <c r="X106" s="66">
        <f>IF(Valor_normalizado!X106=0,32,IFERROR(RANK(Valor_normalizado!X106,Valor_normalizado!X$98:X$129,0),"NA"))</f>
        <v>22</v>
      </c>
      <c r="Y106" s="66">
        <f>IF(Valor_normalizado!Y106=0,32,IFERROR(RANK(Valor_normalizado!Y106,Valor_normalizado!Y$98:Y$129,0),"NA"))</f>
        <v>22</v>
      </c>
    </row>
    <row r="107" ht="14.25" hidden="1" customHeight="1">
      <c r="A107" s="51" t="s">
        <v>313</v>
      </c>
      <c r="B107" s="23">
        <v>2022.0</v>
      </c>
      <c r="C107" s="66">
        <f>IF(Valor_normalizado!C107=0,32,IFERROR(RANK(Valor_normalizado!C107,Valor_normalizado!C$98:C$129,0),"NA"))</f>
        <v>6</v>
      </c>
      <c r="D107" s="66">
        <f>IF(Valor_normalizado!D107=0,32,IFERROR(RANK(Valor_normalizado!D107,Valor_normalizado!D$98:D$129,0),"NA"))</f>
        <v>10</v>
      </c>
      <c r="E107" s="66">
        <f>IF(Valor_normalizado!E107=0,32,IFERROR(RANK(Valor_normalizado!E107,Valor_normalizado!E$98:E$129,0),"NA"))</f>
        <v>8</v>
      </c>
      <c r="F107" s="66">
        <f>IF(Valor_normalizado!F107=0,32,IFERROR(RANK(Valor_normalizado!F107,Valor_normalizado!F$98:F$129,0),"NA"))</f>
        <v>9</v>
      </c>
      <c r="G107" s="66">
        <f>IF(Valor_normalizado!G107=0,32,IFERROR(RANK(Valor_normalizado!G107,Valor_normalizado!G$98:G$129,0),"NA"))</f>
        <v>8</v>
      </c>
      <c r="H107" s="66">
        <f>IF(Valor_normalizado!H107=0,32,IFERROR(RANK(Valor_normalizado!H107,Valor_normalizado!H$98:H$129,0),"NA"))</f>
        <v>10</v>
      </c>
      <c r="I107" s="66">
        <f>IF(Valor_normalizado!I107=0,32,IFERROR(RANK(Valor_normalizado!I107,Valor_normalizado!I$98:I$129,0),"NA"))</f>
        <v>6</v>
      </c>
      <c r="J107" s="66">
        <f>IF(Valor_normalizado!J107=0,32,IFERROR(RANK(Valor_normalizado!J107,Valor_normalizado!J$98:J$129,0),"NA"))</f>
        <v>15</v>
      </c>
      <c r="K107" s="66">
        <f>IF(Valor_normalizado!K107=0,32,IFERROR(RANK(Valor_normalizado!K107,Valor_normalizado!K$98:K$129,0),"NA"))</f>
        <v>10</v>
      </c>
      <c r="L107" s="66">
        <f>IF(Valor_normalizado!L107=0,32,IFERROR(RANK(Valor_normalizado!L107,Valor_normalizado!L$98:L$129,0),"NA"))</f>
        <v>9</v>
      </c>
      <c r="M107" s="66">
        <f>IF(Valor_normalizado!M107=0,32,IFERROR(RANK(Valor_normalizado!M107,Valor_normalizado!M$98:M$129,0),"NA"))</f>
        <v>15</v>
      </c>
      <c r="N107" s="66">
        <f>IF(Valor_normalizado!N107=0,32,IFERROR(RANK(Valor_normalizado!N107,Valor_normalizado!N$98:N$129,0),"NA"))</f>
        <v>32</v>
      </c>
      <c r="O107" s="66">
        <f>IF(Valor_normalizado!O107=0,32,IFERROR(RANK(Valor_normalizado!O107,Valor_normalizado!O$98:O$129,0),"NA"))</f>
        <v>17</v>
      </c>
      <c r="P107" s="66">
        <f>IF(Valor_normalizado!P107=0,32,IFERROR(RANK(Valor_normalizado!P107,Valor_normalizado!P$98:P$129,0),"NA"))</f>
        <v>3</v>
      </c>
      <c r="Q107" s="66">
        <f>IF(Valor_normalizado!Q107=0,32,IFERROR(RANK(Valor_normalizado!Q107,Valor_normalizado!Q$98:Q$129,0),"NA"))</f>
        <v>7</v>
      </c>
      <c r="R107" s="66">
        <f>IF(Valor_normalizado!R107=0,32,IFERROR(RANK(Valor_normalizado!R107,Valor_normalizado!R$98:R$129,0),"NA"))</f>
        <v>15</v>
      </c>
      <c r="S107" s="66">
        <f>IF(Valor_normalizado!S107=0,32,IFERROR(RANK(Valor_normalizado!S107,Valor_normalizado!S$98:S$129,0),"NA"))</f>
        <v>12</v>
      </c>
      <c r="T107" s="66">
        <f>IF(Valor_normalizado!T107=0,32,IFERROR(RANK(Valor_normalizado!T107,Valor_normalizado!T$98:T$129,0),"NA"))</f>
        <v>11</v>
      </c>
      <c r="U107" s="66">
        <f>IF(Valor_normalizado!U107=0,32,IFERROR(RANK(Valor_normalizado!U107,Valor_normalizado!U$98:U$129,0),"NA"))</f>
        <v>1</v>
      </c>
      <c r="V107" s="66">
        <f>IF(Valor_normalizado!V107=0,32,IFERROR(RANK(Valor_normalizado!V107,Valor_normalizado!V$98:V$129,0),"NA"))</f>
        <v>10</v>
      </c>
      <c r="W107" s="66">
        <f>IF(Valor_normalizado!W107=0,32,IFERROR(RANK(Valor_normalizado!W107,Valor_normalizado!W$98:W$129,0),"NA"))</f>
        <v>7</v>
      </c>
      <c r="X107" s="66">
        <f>IF(Valor_normalizado!X107=0,32,IFERROR(RANK(Valor_normalizado!X107,Valor_normalizado!X$98:X$129,0),"NA"))</f>
        <v>11</v>
      </c>
      <c r="Y107" s="66">
        <f>IF(Valor_normalizado!Y107=0,32,IFERROR(RANK(Valor_normalizado!Y107,Valor_normalizado!Y$98:Y$129,0),"NA"))</f>
        <v>11</v>
      </c>
    </row>
    <row r="108" ht="14.25" hidden="1" customHeight="1">
      <c r="A108" s="49" t="s">
        <v>334</v>
      </c>
      <c r="B108" s="23">
        <v>2022.0</v>
      </c>
      <c r="C108" s="66">
        <f>IF(Valor_normalizado!C108=0,32,IFERROR(RANK(Valor_normalizado!C108,Valor_normalizado!C$98:C$129,0),"NA"))</f>
        <v>30</v>
      </c>
      <c r="D108" s="66">
        <f>IF(Valor_normalizado!D108=0,32,IFERROR(RANK(Valor_normalizado!D108,Valor_normalizado!D$98:D$129,0),"NA"))</f>
        <v>31</v>
      </c>
      <c r="E108" s="66">
        <f>IF(Valor_normalizado!E108=0,32,IFERROR(RANK(Valor_normalizado!E108,Valor_normalizado!E$98:E$129,0),"NA"))</f>
        <v>29</v>
      </c>
      <c r="F108" s="66">
        <f>IF(Valor_normalizado!F108=0,32,IFERROR(RANK(Valor_normalizado!F108,Valor_normalizado!F$98:F$129,0),"NA"))</f>
        <v>29</v>
      </c>
      <c r="G108" s="66">
        <f>IF(Valor_normalizado!G108=0,32,IFERROR(RANK(Valor_normalizado!G108,Valor_normalizado!G$98:G$129,0),"NA"))</f>
        <v>29</v>
      </c>
      <c r="H108" s="66">
        <f>IF(Valor_normalizado!H108=0,32,IFERROR(RANK(Valor_normalizado!H108,Valor_normalizado!H$98:H$129,0),"NA"))</f>
        <v>29</v>
      </c>
      <c r="I108" s="66">
        <f>IF(Valor_normalizado!I108=0,32,IFERROR(RANK(Valor_normalizado!I108,Valor_normalizado!I$98:I$129,0),"NA"))</f>
        <v>24</v>
      </c>
      <c r="J108" s="66">
        <f>IF(Valor_normalizado!J108=0,32,IFERROR(RANK(Valor_normalizado!J108,Valor_normalizado!J$98:J$129,0),"NA"))</f>
        <v>23</v>
      </c>
      <c r="K108" s="66">
        <f>IF(Valor_normalizado!K108=0,32,IFERROR(RANK(Valor_normalizado!K108,Valor_normalizado!K$98:K$129,0),"NA"))</f>
        <v>26</v>
      </c>
      <c r="L108" s="66">
        <f>IF(Valor_normalizado!L108=0,32,IFERROR(RANK(Valor_normalizado!L108,Valor_normalizado!L$98:L$129,0),"NA"))</f>
        <v>29</v>
      </c>
      <c r="M108" s="66">
        <f>IF(Valor_normalizado!M108=0,32,IFERROR(RANK(Valor_normalizado!M108,Valor_normalizado!M$98:M$129,0),"NA"))</f>
        <v>32</v>
      </c>
      <c r="N108" s="66">
        <f>IF(Valor_normalizado!N108=0,32,IFERROR(RANK(Valor_normalizado!N108,Valor_normalizado!N$98:N$129,0),"NA"))</f>
        <v>32</v>
      </c>
      <c r="O108" s="66">
        <f>IF(Valor_normalizado!O108=0,32,IFERROR(RANK(Valor_normalizado!O108,Valor_normalizado!O$98:O$129,0),"NA"))</f>
        <v>32</v>
      </c>
      <c r="P108" s="66">
        <f>IF(Valor_normalizado!P108=0,32,IFERROR(RANK(Valor_normalizado!P108,Valor_normalizado!P$98:P$129,0),"NA"))</f>
        <v>32</v>
      </c>
      <c r="Q108" s="66">
        <f>IF(Valor_normalizado!Q108=0,32,IFERROR(RANK(Valor_normalizado!Q108,Valor_normalizado!Q$98:Q$129,0),"NA"))</f>
        <v>32</v>
      </c>
      <c r="R108" s="66">
        <f>IF(Valor_normalizado!R108=0,32,IFERROR(RANK(Valor_normalizado!R108,Valor_normalizado!R$98:R$129,0),"NA"))</f>
        <v>32</v>
      </c>
      <c r="S108" s="66">
        <f>IF(Valor_normalizado!S108=0,32,IFERROR(RANK(Valor_normalizado!S108,Valor_normalizado!S$98:S$129,0),"NA"))</f>
        <v>32</v>
      </c>
      <c r="T108" s="66">
        <f>IF(Valor_normalizado!T108=0,32,IFERROR(RANK(Valor_normalizado!T108,Valor_normalizado!T$98:T$129,0),"NA"))</f>
        <v>32</v>
      </c>
      <c r="U108" s="66">
        <f>IF(Valor_normalizado!U108=0,32,IFERROR(RANK(Valor_normalizado!U108,Valor_normalizado!U$98:U$129,0),"NA"))</f>
        <v>32</v>
      </c>
      <c r="V108" s="66">
        <f>IF(Valor_normalizado!V108=0,32,IFERROR(RANK(Valor_normalizado!V108,Valor_normalizado!V$98:V$129,0),"NA"))</f>
        <v>25</v>
      </c>
      <c r="W108" s="66">
        <f>IF(Valor_normalizado!W108=0,32,IFERROR(RANK(Valor_normalizado!W108,Valor_normalizado!W$98:W$129,0),"NA"))</f>
        <v>26</v>
      </c>
      <c r="X108" s="66">
        <f>IF(Valor_normalizado!X108=0,32,IFERROR(RANK(Valor_normalizado!X108,Valor_normalizado!X$98:X$129,0),"NA"))</f>
        <v>29</v>
      </c>
      <c r="Y108" s="66">
        <f>IF(Valor_normalizado!Y108=0,32,IFERROR(RANK(Valor_normalizado!Y108,Valor_normalizado!Y$98:Y$129,0),"NA"))</f>
        <v>31</v>
      </c>
    </row>
    <row r="109" ht="14.25" hidden="1" customHeight="1">
      <c r="A109" s="51" t="s">
        <v>335</v>
      </c>
      <c r="B109" s="23">
        <v>2022.0</v>
      </c>
      <c r="C109" s="66">
        <f>IF(Valor_normalizado!C109=0,32,IFERROR(RANK(Valor_normalizado!C109,Valor_normalizado!C$98:C$129,0),"NA"))</f>
        <v>31</v>
      </c>
      <c r="D109" s="66">
        <f>IF(Valor_normalizado!D109=0,32,IFERROR(RANK(Valor_normalizado!D109,Valor_normalizado!D$98:D$129,0),"NA"))</f>
        <v>30</v>
      </c>
      <c r="E109" s="66">
        <f>IF(Valor_normalizado!E109=0,32,IFERROR(RANK(Valor_normalizado!E109,Valor_normalizado!E$98:E$129,0),"NA"))</f>
        <v>32</v>
      </c>
      <c r="F109" s="66">
        <f>IF(Valor_normalizado!F109=0,32,IFERROR(RANK(Valor_normalizado!F109,Valor_normalizado!F$98:F$129,0),"NA"))</f>
        <v>32</v>
      </c>
      <c r="G109" s="66">
        <f>IF(Valor_normalizado!G109=0,32,IFERROR(RANK(Valor_normalizado!G109,Valor_normalizado!G$98:G$129,0),"NA"))</f>
        <v>32</v>
      </c>
      <c r="H109" s="66">
        <f>IF(Valor_normalizado!H109=0,32,IFERROR(RANK(Valor_normalizado!H109,Valor_normalizado!H$98:H$129,0),"NA"))</f>
        <v>30</v>
      </c>
      <c r="I109" s="66">
        <f>IF(Valor_normalizado!I109=0,32,IFERROR(RANK(Valor_normalizado!I109,Valor_normalizado!I$98:I$129,0),"NA"))</f>
        <v>31</v>
      </c>
      <c r="J109" s="66">
        <f>IF(Valor_normalizado!J109=0,32,IFERROR(RANK(Valor_normalizado!J109,Valor_normalizado!J$98:J$129,0),"NA"))</f>
        <v>28</v>
      </c>
      <c r="K109" s="66">
        <f>IF(Valor_normalizado!K109=0,32,IFERROR(RANK(Valor_normalizado!K109,Valor_normalizado!K$98:K$129,0),"NA"))</f>
        <v>30</v>
      </c>
      <c r="L109" s="66">
        <f>IF(Valor_normalizado!L109=0,32,IFERROR(RANK(Valor_normalizado!L109,Valor_normalizado!L$98:L$129,0),"NA"))</f>
        <v>31</v>
      </c>
      <c r="M109" s="66">
        <f>IF(Valor_normalizado!M109=0,32,IFERROR(RANK(Valor_normalizado!M109,Valor_normalizado!M$98:M$129,0),"NA"))</f>
        <v>7</v>
      </c>
      <c r="N109" s="66">
        <f>IF(Valor_normalizado!N109=0,32,IFERROR(RANK(Valor_normalizado!N109,Valor_normalizado!N$98:N$129,0),"NA"))</f>
        <v>32</v>
      </c>
      <c r="O109" s="66">
        <f>IF(Valor_normalizado!O109=0,32,IFERROR(RANK(Valor_normalizado!O109,Valor_normalizado!O$98:O$129,0),"NA"))</f>
        <v>19</v>
      </c>
      <c r="P109" s="66">
        <f>IF(Valor_normalizado!P109=0,32,IFERROR(RANK(Valor_normalizado!P109,Valor_normalizado!P$98:P$129,0),"NA"))</f>
        <v>12</v>
      </c>
      <c r="Q109" s="66">
        <f>IF(Valor_normalizado!Q109=0,32,IFERROR(RANK(Valor_normalizado!Q109,Valor_normalizado!Q$98:Q$129,0),"NA"))</f>
        <v>1</v>
      </c>
      <c r="R109" s="66">
        <f>IF(Valor_normalizado!R109=0,32,IFERROR(RANK(Valor_normalizado!R109,Valor_normalizado!R$98:R$129,0),"NA"))</f>
        <v>10</v>
      </c>
      <c r="S109" s="66">
        <f>IF(Valor_normalizado!S109=0,32,IFERROR(RANK(Valor_normalizado!S109,Valor_normalizado!S$98:S$129,0),"NA"))</f>
        <v>32</v>
      </c>
      <c r="T109" s="66">
        <f>IF(Valor_normalizado!T109=0,32,IFERROR(RANK(Valor_normalizado!T109,Valor_normalizado!T$98:T$129,0),"NA"))</f>
        <v>32</v>
      </c>
      <c r="U109" s="66">
        <f>IF(Valor_normalizado!U109=0,32,IFERROR(RANK(Valor_normalizado!U109,Valor_normalizado!U$98:U$129,0),"NA"))</f>
        <v>32</v>
      </c>
      <c r="V109" s="66">
        <f>IF(Valor_normalizado!V109=0,32,IFERROR(RANK(Valor_normalizado!V109,Valor_normalizado!V$98:V$129,0),"NA"))</f>
        <v>20</v>
      </c>
      <c r="W109" s="66">
        <f>IF(Valor_normalizado!W109=0,32,IFERROR(RANK(Valor_normalizado!W109,Valor_normalizado!W$98:W$129,0),"NA"))</f>
        <v>22</v>
      </c>
      <c r="X109" s="66">
        <f>IF(Valor_normalizado!X109=0,32,IFERROR(RANK(Valor_normalizado!X109,Valor_normalizado!X$98:X$129,0),"NA"))</f>
        <v>16</v>
      </c>
      <c r="Y109" s="66">
        <f>IF(Valor_normalizado!Y109=0,32,IFERROR(RANK(Valor_normalizado!Y109,Valor_normalizado!Y$98:Y$129,0),"NA"))</f>
        <v>28</v>
      </c>
    </row>
    <row r="110" ht="14.25" hidden="1" customHeight="1">
      <c r="A110" s="49" t="s">
        <v>315</v>
      </c>
      <c r="B110" s="23">
        <v>2022.0</v>
      </c>
      <c r="C110" s="66">
        <f>IF(Valor_normalizado!C110=0,32,IFERROR(RANK(Valor_normalizado!C110,Valor_normalizado!C$98:C$129,0),"NA"))</f>
        <v>10</v>
      </c>
      <c r="D110" s="66">
        <f>IF(Valor_normalizado!D110=0,32,IFERROR(RANK(Valor_normalizado!D110,Valor_normalizado!D$98:D$129,0),"NA"))</f>
        <v>7</v>
      </c>
      <c r="E110" s="66">
        <f>IF(Valor_normalizado!E110=0,32,IFERROR(RANK(Valor_normalizado!E110,Valor_normalizado!E$98:E$129,0),"NA"))</f>
        <v>2</v>
      </c>
      <c r="F110" s="66">
        <f>IF(Valor_normalizado!F110=0,32,IFERROR(RANK(Valor_normalizado!F110,Valor_normalizado!F$98:F$129,0),"NA"))</f>
        <v>10</v>
      </c>
      <c r="G110" s="66">
        <f>IF(Valor_normalizado!G110=0,32,IFERROR(RANK(Valor_normalizado!G110,Valor_normalizado!G$98:G$129,0),"NA"))</f>
        <v>9</v>
      </c>
      <c r="H110" s="66">
        <f>IF(Valor_normalizado!H110=0,32,IFERROR(RANK(Valor_normalizado!H110,Valor_normalizado!H$98:H$129,0),"NA"))</f>
        <v>6</v>
      </c>
      <c r="I110" s="66">
        <f>IF(Valor_normalizado!I110=0,32,IFERROR(RANK(Valor_normalizado!I110,Valor_normalizado!I$98:I$129,0),"NA"))</f>
        <v>2</v>
      </c>
      <c r="J110" s="66">
        <f>IF(Valor_normalizado!J110=0,32,IFERROR(RANK(Valor_normalizado!J110,Valor_normalizado!J$98:J$129,0),"NA"))</f>
        <v>2</v>
      </c>
      <c r="K110" s="66">
        <f>IF(Valor_normalizado!K110=0,32,IFERROR(RANK(Valor_normalizado!K110,Valor_normalizado!K$98:K$129,0),"NA"))</f>
        <v>3</v>
      </c>
      <c r="L110" s="66">
        <f>IF(Valor_normalizado!L110=0,32,IFERROR(RANK(Valor_normalizado!L110,Valor_normalizado!L$98:L$129,0),"NA"))</f>
        <v>3</v>
      </c>
      <c r="M110" s="66">
        <f>IF(Valor_normalizado!M110=0,32,IFERROR(RANK(Valor_normalizado!M110,Valor_normalizado!M$98:M$129,0),"NA"))</f>
        <v>2</v>
      </c>
      <c r="N110" s="66">
        <f>IF(Valor_normalizado!N110=0,32,IFERROR(RANK(Valor_normalizado!N110,Valor_normalizado!N$98:N$129,0),"NA"))</f>
        <v>2</v>
      </c>
      <c r="O110" s="66">
        <f>IF(Valor_normalizado!O110=0,32,IFERROR(RANK(Valor_normalizado!O110,Valor_normalizado!O$98:O$129,0),"NA"))</f>
        <v>2</v>
      </c>
      <c r="P110" s="66">
        <f>IF(Valor_normalizado!P110=0,32,IFERROR(RANK(Valor_normalizado!P110,Valor_normalizado!P$98:P$129,0),"NA"))</f>
        <v>17</v>
      </c>
      <c r="Q110" s="66">
        <f>IF(Valor_normalizado!Q110=0,32,IFERROR(RANK(Valor_normalizado!Q110,Valor_normalizado!Q$98:Q$129,0),"NA"))</f>
        <v>4</v>
      </c>
      <c r="R110" s="66">
        <f>IF(Valor_normalizado!R110=0,32,IFERROR(RANK(Valor_normalizado!R110,Valor_normalizado!R$98:R$129,0),"NA"))</f>
        <v>2</v>
      </c>
      <c r="S110" s="66">
        <f>IF(Valor_normalizado!S110=0,32,IFERROR(RANK(Valor_normalizado!S110,Valor_normalizado!S$98:S$129,0),"NA"))</f>
        <v>3</v>
      </c>
      <c r="T110" s="66">
        <f>IF(Valor_normalizado!T110=0,32,IFERROR(RANK(Valor_normalizado!T110,Valor_normalizado!T$98:T$129,0),"NA"))</f>
        <v>3</v>
      </c>
      <c r="U110" s="66">
        <f>IF(Valor_normalizado!U110=0,32,IFERROR(RANK(Valor_normalizado!U110,Valor_normalizado!U$98:U$129,0),"NA"))</f>
        <v>5</v>
      </c>
      <c r="V110" s="66">
        <f>IF(Valor_normalizado!V110=0,32,IFERROR(RANK(Valor_normalizado!V110,Valor_normalizado!V$98:V$129,0),"NA"))</f>
        <v>6</v>
      </c>
      <c r="W110" s="66">
        <f>IF(Valor_normalizado!W110=0,32,IFERROR(RANK(Valor_normalizado!W110,Valor_normalizado!W$98:W$129,0),"NA"))</f>
        <v>4</v>
      </c>
      <c r="X110" s="66">
        <f>IF(Valor_normalizado!X110=0,32,IFERROR(RANK(Valor_normalizado!X110,Valor_normalizado!X$98:X$129,0),"NA"))</f>
        <v>1</v>
      </c>
      <c r="Y110" s="66">
        <f>IF(Valor_normalizado!Y110=0,32,IFERROR(RANK(Valor_normalizado!Y110,Valor_normalizado!Y$98:Y$129,0),"NA"))</f>
        <v>7</v>
      </c>
    </row>
    <row r="111" ht="14.25" hidden="1" customHeight="1">
      <c r="A111" s="51" t="s">
        <v>307</v>
      </c>
      <c r="B111" s="23">
        <v>2022.0</v>
      </c>
      <c r="C111" s="66">
        <f>IF(Valor_normalizado!C111=0,32,IFERROR(RANK(Valor_normalizado!C111,Valor_normalizado!C$98:C$129,0),"NA"))</f>
        <v>4</v>
      </c>
      <c r="D111" s="66">
        <f>IF(Valor_normalizado!D111=0,32,IFERROR(RANK(Valor_normalizado!D111,Valor_normalizado!D$98:D$129,0),"NA"))</f>
        <v>4</v>
      </c>
      <c r="E111" s="66">
        <f>IF(Valor_normalizado!E111=0,32,IFERROR(RANK(Valor_normalizado!E111,Valor_normalizado!E$98:E$129,0),"NA"))</f>
        <v>5</v>
      </c>
      <c r="F111" s="66">
        <f>IF(Valor_normalizado!F111=0,32,IFERROR(RANK(Valor_normalizado!F111,Valor_normalizado!F$98:F$129,0),"NA"))</f>
        <v>8</v>
      </c>
      <c r="G111" s="66">
        <f>IF(Valor_normalizado!G111=0,32,IFERROR(RANK(Valor_normalizado!G111,Valor_normalizado!G$98:G$129,0),"NA"))</f>
        <v>5</v>
      </c>
      <c r="H111" s="66">
        <f>IF(Valor_normalizado!H111=0,32,IFERROR(RANK(Valor_normalizado!H111,Valor_normalizado!H$98:H$129,0),"NA"))</f>
        <v>7</v>
      </c>
      <c r="I111" s="66">
        <f>IF(Valor_normalizado!I111=0,32,IFERROR(RANK(Valor_normalizado!I111,Valor_normalizado!I$98:I$129,0),"NA"))</f>
        <v>10</v>
      </c>
      <c r="J111" s="66">
        <f>IF(Valor_normalizado!J111=0,32,IFERROR(RANK(Valor_normalizado!J111,Valor_normalizado!J$98:J$129,0),"NA"))</f>
        <v>5</v>
      </c>
      <c r="K111" s="66">
        <f>IF(Valor_normalizado!K111=0,32,IFERROR(RANK(Valor_normalizado!K111,Valor_normalizado!K$98:K$129,0),"NA"))</f>
        <v>6</v>
      </c>
      <c r="L111" s="66">
        <f>IF(Valor_normalizado!L111=0,32,IFERROR(RANK(Valor_normalizado!L111,Valor_normalizado!L$98:L$129,0),"NA"))</f>
        <v>5</v>
      </c>
      <c r="M111" s="66">
        <f>IF(Valor_normalizado!M111=0,32,IFERROR(RANK(Valor_normalizado!M111,Valor_normalizado!M$98:M$129,0),"NA"))</f>
        <v>3</v>
      </c>
      <c r="N111" s="66">
        <f>IF(Valor_normalizado!N111=0,32,IFERROR(RANK(Valor_normalizado!N111,Valor_normalizado!N$98:N$129,0),"NA"))</f>
        <v>5</v>
      </c>
      <c r="O111" s="66">
        <f>IF(Valor_normalizado!O111=0,32,IFERROR(RANK(Valor_normalizado!O111,Valor_normalizado!O$98:O$129,0),"NA"))</f>
        <v>5</v>
      </c>
      <c r="P111" s="66">
        <f>IF(Valor_normalizado!P111=0,32,IFERROR(RANK(Valor_normalizado!P111,Valor_normalizado!P$98:P$129,0),"NA"))</f>
        <v>13</v>
      </c>
      <c r="Q111" s="66">
        <f>IF(Valor_normalizado!Q111=0,32,IFERROR(RANK(Valor_normalizado!Q111,Valor_normalizado!Q$98:Q$129,0),"NA"))</f>
        <v>12</v>
      </c>
      <c r="R111" s="66">
        <f>IF(Valor_normalizado!R111=0,32,IFERROR(RANK(Valor_normalizado!R111,Valor_normalizado!R$98:R$129,0),"NA"))</f>
        <v>4</v>
      </c>
      <c r="S111" s="66">
        <f>IF(Valor_normalizado!S111=0,32,IFERROR(RANK(Valor_normalizado!S111,Valor_normalizado!S$98:S$129,0),"NA"))</f>
        <v>6</v>
      </c>
      <c r="T111" s="66">
        <f>IF(Valor_normalizado!T111=0,32,IFERROR(RANK(Valor_normalizado!T111,Valor_normalizado!T$98:T$129,0),"NA"))</f>
        <v>6</v>
      </c>
      <c r="U111" s="66">
        <f>IF(Valor_normalizado!U111=0,32,IFERROR(RANK(Valor_normalizado!U111,Valor_normalizado!U$98:U$129,0),"NA"))</f>
        <v>2</v>
      </c>
      <c r="V111" s="66">
        <f>IF(Valor_normalizado!V111=0,32,IFERROR(RANK(Valor_normalizado!V111,Valor_normalizado!V$98:V$129,0),"NA"))</f>
        <v>1</v>
      </c>
      <c r="W111" s="66">
        <f>IF(Valor_normalizado!W111=0,32,IFERROR(RANK(Valor_normalizado!W111,Valor_normalizado!W$98:W$129,0),"NA"))</f>
        <v>2</v>
      </c>
      <c r="X111" s="66">
        <f>IF(Valor_normalizado!X111=0,32,IFERROR(RANK(Valor_normalizado!X111,Valor_normalizado!X$98:X$129,0),"NA"))</f>
        <v>3</v>
      </c>
      <c r="Y111" s="66">
        <f>IF(Valor_normalizado!Y111=0,32,IFERROR(RANK(Valor_normalizado!Y111,Valor_normalizado!Y$98:Y$129,0),"NA"))</f>
        <v>2</v>
      </c>
    </row>
    <row r="112" ht="14.25" hidden="1" customHeight="1">
      <c r="A112" s="49" t="s">
        <v>336</v>
      </c>
      <c r="B112" s="23">
        <v>2022.0</v>
      </c>
      <c r="C112" s="66">
        <f>IF(Valor_normalizado!C112=0,32,IFERROR(RANK(Valor_normalizado!C112,Valor_normalizado!C$98:C$129,0),"NA"))</f>
        <v>32</v>
      </c>
      <c r="D112" s="66">
        <f>IF(Valor_normalizado!D112=0,32,IFERROR(RANK(Valor_normalizado!D112,Valor_normalizado!D$98:D$129,0),"NA"))</f>
        <v>28</v>
      </c>
      <c r="E112" s="66">
        <f>IF(Valor_normalizado!E112=0,32,IFERROR(RANK(Valor_normalizado!E112,Valor_normalizado!E$98:E$129,0),"NA"))</f>
        <v>24</v>
      </c>
      <c r="F112" s="66">
        <f>IF(Valor_normalizado!F112=0,32,IFERROR(RANK(Valor_normalizado!F112,Valor_normalizado!F$98:F$129,0),"NA"))</f>
        <v>30</v>
      </c>
      <c r="G112" s="66">
        <f>IF(Valor_normalizado!G112=0,32,IFERROR(RANK(Valor_normalizado!G112,Valor_normalizado!G$98:G$129,0),"NA"))</f>
        <v>31</v>
      </c>
      <c r="H112" s="66">
        <f>IF(Valor_normalizado!H112=0,32,IFERROR(RANK(Valor_normalizado!H112,Valor_normalizado!H$98:H$129,0),"NA"))</f>
        <v>32</v>
      </c>
      <c r="I112" s="66">
        <f>IF(Valor_normalizado!I112=0,32,IFERROR(RANK(Valor_normalizado!I112,Valor_normalizado!I$98:I$129,0),"NA"))</f>
        <v>32</v>
      </c>
      <c r="J112" s="66">
        <f>IF(Valor_normalizado!J112=0,32,IFERROR(RANK(Valor_normalizado!J112,Valor_normalizado!J$98:J$129,0),"NA"))</f>
        <v>32</v>
      </c>
      <c r="K112" s="66">
        <f>IF(Valor_normalizado!K112=0,32,IFERROR(RANK(Valor_normalizado!K112,Valor_normalizado!K$98:K$129,0),"NA"))</f>
        <v>32</v>
      </c>
      <c r="L112" s="66">
        <f>IF(Valor_normalizado!L112=0,32,IFERROR(RANK(Valor_normalizado!L112,Valor_normalizado!L$98:L$129,0),"NA"))</f>
        <v>32</v>
      </c>
      <c r="M112" s="66">
        <f>IF(Valor_normalizado!M112=0,32,IFERROR(RANK(Valor_normalizado!M112,Valor_normalizado!M$98:M$129,0),"NA"))</f>
        <v>32</v>
      </c>
      <c r="N112" s="66">
        <f>IF(Valor_normalizado!N112=0,32,IFERROR(RANK(Valor_normalizado!N112,Valor_normalizado!N$98:N$129,0),"NA"))</f>
        <v>32</v>
      </c>
      <c r="O112" s="66">
        <f>IF(Valor_normalizado!O112=0,32,IFERROR(RANK(Valor_normalizado!O112,Valor_normalizado!O$98:O$129,0),"NA"))</f>
        <v>29</v>
      </c>
      <c r="P112" s="66">
        <f>IF(Valor_normalizado!P112=0,32,IFERROR(RANK(Valor_normalizado!P112,Valor_normalizado!P$98:P$129,0),"NA"))</f>
        <v>32</v>
      </c>
      <c r="Q112" s="66">
        <f>IF(Valor_normalizado!Q112=0,32,IFERROR(RANK(Valor_normalizado!Q112,Valor_normalizado!Q$98:Q$129,0),"NA"))</f>
        <v>32</v>
      </c>
      <c r="R112" s="66">
        <f>IF(Valor_normalizado!R112=0,32,IFERROR(RANK(Valor_normalizado!R112,Valor_normalizado!R$98:R$129,0),"NA"))</f>
        <v>29</v>
      </c>
      <c r="S112" s="66">
        <f>IF(Valor_normalizado!S112=0,32,IFERROR(RANK(Valor_normalizado!S112,Valor_normalizado!S$98:S$129,0),"NA"))</f>
        <v>32</v>
      </c>
      <c r="T112" s="66">
        <f>IF(Valor_normalizado!T112=0,32,IFERROR(RANK(Valor_normalizado!T112,Valor_normalizado!T$98:T$129,0),"NA"))</f>
        <v>32</v>
      </c>
      <c r="U112" s="66">
        <f>IF(Valor_normalizado!U112=0,32,IFERROR(RANK(Valor_normalizado!U112,Valor_normalizado!U$98:U$129,0),"NA"))</f>
        <v>32</v>
      </c>
      <c r="V112" s="66">
        <f>IF(Valor_normalizado!V112=0,32,IFERROR(RANK(Valor_normalizado!V112,Valor_normalizado!V$98:V$129,0),"NA"))</f>
        <v>32</v>
      </c>
      <c r="W112" s="66">
        <f>IF(Valor_normalizado!W112=0,32,IFERROR(RANK(Valor_normalizado!W112,Valor_normalizado!W$98:W$129,0),"NA"))</f>
        <v>32</v>
      </c>
      <c r="X112" s="66">
        <f>IF(Valor_normalizado!X112=0,32,IFERROR(RANK(Valor_normalizado!X112,Valor_normalizado!X$98:X$129,0),"NA"))</f>
        <v>31</v>
      </c>
      <c r="Y112" s="66">
        <f>IF(Valor_normalizado!Y112=0,32,IFERROR(RANK(Valor_normalizado!Y112,Valor_normalizado!Y$98:Y$129,0),"NA"))</f>
        <v>32</v>
      </c>
    </row>
    <row r="113" ht="14.25" hidden="1" customHeight="1">
      <c r="A113" s="51" t="s">
        <v>331</v>
      </c>
      <c r="B113" s="23">
        <v>2022.0</v>
      </c>
      <c r="C113" s="66">
        <f>IF(Valor_normalizado!C113=0,32,IFERROR(RANK(Valor_normalizado!C113,Valor_normalizado!C$98:C$129,0),"NA"))</f>
        <v>28</v>
      </c>
      <c r="D113" s="66">
        <f>IF(Valor_normalizado!D113=0,32,IFERROR(RANK(Valor_normalizado!D113,Valor_normalizado!D$98:D$129,0),"NA"))</f>
        <v>27</v>
      </c>
      <c r="E113" s="66">
        <f>IF(Valor_normalizado!E113=0,32,IFERROR(RANK(Valor_normalizado!E113,Valor_normalizado!E$98:E$129,0),"NA"))</f>
        <v>22</v>
      </c>
      <c r="F113" s="66">
        <f>IF(Valor_normalizado!F113=0,32,IFERROR(RANK(Valor_normalizado!F113,Valor_normalizado!F$98:F$129,0),"NA"))</f>
        <v>24</v>
      </c>
      <c r="G113" s="66">
        <f>IF(Valor_normalizado!G113=0,32,IFERROR(RANK(Valor_normalizado!G113,Valor_normalizado!G$98:G$129,0),"NA"))</f>
        <v>28</v>
      </c>
      <c r="H113" s="66">
        <f>IF(Valor_normalizado!H113=0,32,IFERROR(RANK(Valor_normalizado!H113,Valor_normalizado!H$98:H$129,0),"NA"))</f>
        <v>26</v>
      </c>
      <c r="I113" s="66">
        <f>IF(Valor_normalizado!I113=0,32,IFERROR(RANK(Valor_normalizado!I113,Valor_normalizado!I$98:I$129,0),"NA"))</f>
        <v>18</v>
      </c>
      <c r="J113" s="66">
        <f>IF(Valor_normalizado!J113=0,32,IFERROR(RANK(Valor_normalizado!J113,Valor_normalizado!J$98:J$129,0),"NA"))</f>
        <v>31</v>
      </c>
      <c r="K113" s="66">
        <f>IF(Valor_normalizado!K113=0,32,IFERROR(RANK(Valor_normalizado!K113,Valor_normalizado!K$98:K$129,0),"NA"))</f>
        <v>27</v>
      </c>
      <c r="L113" s="66">
        <f>IF(Valor_normalizado!L113=0,32,IFERROR(RANK(Valor_normalizado!L113,Valor_normalizado!L$98:L$129,0),"NA"))</f>
        <v>27</v>
      </c>
      <c r="M113" s="66">
        <f>IF(Valor_normalizado!M113=0,32,IFERROR(RANK(Valor_normalizado!M113,Valor_normalizado!M$98:M$129,0),"NA"))</f>
        <v>32</v>
      </c>
      <c r="N113" s="66">
        <f>IF(Valor_normalizado!N113=0,32,IFERROR(RANK(Valor_normalizado!N113,Valor_normalizado!N$98:N$129,0),"NA"))</f>
        <v>32</v>
      </c>
      <c r="O113" s="66">
        <f>IF(Valor_normalizado!O113=0,32,IFERROR(RANK(Valor_normalizado!O113,Valor_normalizado!O$98:O$129,0),"NA"))</f>
        <v>30</v>
      </c>
      <c r="P113" s="66">
        <f>IF(Valor_normalizado!P113=0,32,IFERROR(RANK(Valor_normalizado!P113,Valor_normalizado!P$98:P$129,0),"NA"))</f>
        <v>32</v>
      </c>
      <c r="Q113" s="66">
        <f>IF(Valor_normalizado!Q113=0,32,IFERROR(RANK(Valor_normalizado!Q113,Valor_normalizado!Q$98:Q$129,0),"NA"))</f>
        <v>32</v>
      </c>
      <c r="R113" s="66">
        <f>IF(Valor_normalizado!R113=0,32,IFERROR(RANK(Valor_normalizado!R113,Valor_normalizado!R$98:R$129,0),"NA"))</f>
        <v>30</v>
      </c>
      <c r="S113" s="66">
        <f>IF(Valor_normalizado!S113=0,32,IFERROR(RANK(Valor_normalizado!S113,Valor_normalizado!S$98:S$129,0),"NA"))</f>
        <v>32</v>
      </c>
      <c r="T113" s="66">
        <f>IF(Valor_normalizado!T113=0,32,IFERROR(RANK(Valor_normalizado!T113,Valor_normalizado!T$98:T$129,0),"NA"))</f>
        <v>32</v>
      </c>
      <c r="U113" s="66">
        <f>IF(Valor_normalizado!U113=0,32,IFERROR(RANK(Valor_normalizado!U113,Valor_normalizado!U$98:U$129,0),"NA"))</f>
        <v>32</v>
      </c>
      <c r="V113" s="66">
        <f>IF(Valor_normalizado!V113=0,32,IFERROR(RANK(Valor_normalizado!V113,Valor_normalizado!V$98:V$129,0),"NA"))</f>
        <v>27</v>
      </c>
      <c r="W113" s="66">
        <f>IF(Valor_normalizado!W113=0,32,IFERROR(RANK(Valor_normalizado!W113,Valor_normalizado!W$98:W$129,0),"NA"))</f>
        <v>27</v>
      </c>
      <c r="X113" s="66">
        <f>IF(Valor_normalizado!X113=0,32,IFERROR(RANK(Valor_normalizado!X113,Valor_normalizado!X$98:X$129,0),"NA"))</f>
        <v>28</v>
      </c>
      <c r="Y113" s="66">
        <f>IF(Valor_normalizado!Y113=0,32,IFERROR(RANK(Valor_normalizado!Y113,Valor_normalizado!Y$98:Y$129,0),"NA"))</f>
        <v>25</v>
      </c>
    </row>
    <row r="114" ht="14.25" hidden="1" customHeight="1">
      <c r="A114" s="49" t="s">
        <v>328</v>
      </c>
      <c r="B114" s="23">
        <v>2022.0</v>
      </c>
      <c r="C114" s="66">
        <f>IF(Valor_normalizado!C114=0,32,IFERROR(RANK(Valor_normalizado!C114,Valor_normalizado!C$98:C$129,0),"NA"))</f>
        <v>23</v>
      </c>
      <c r="D114" s="66">
        <f>IF(Valor_normalizado!D114=0,32,IFERROR(RANK(Valor_normalizado!D114,Valor_normalizado!D$98:D$129,0),"NA"))</f>
        <v>14</v>
      </c>
      <c r="E114" s="66">
        <f>IF(Valor_normalizado!E114=0,32,IFERROR(RANK(Valor_normalizado!E114,Valor_normalizado!E$98:E$129,0),"NA"))</f>
        <v>27</v>
      </c>
      <c r="F114" s="66">
        <f>IF(Valor_normalizado!F114=0,32,IFERROR(RANK(Valor_normalizado!F114,Valor_normalizado!F$98:F$129,0),"NA"))</f>
        <v>22</v>
      </c>
      <c r="G114" s="66">
        <f>IF(Valor_normalizado!G114=0,32,IFERROR(RANK(Valor_normalizado!G114,Valor_normalizado!G$98:G$129,0),"NA"))</f>
        <v>20</v>
      </c>
      <c r="H114" s="66">
        <f>IF(Valor_normalizado!H114=0,32,IFERROR(RANK(Valor_normalizado!H114,Valor_normalizado!H$98:H$129,0),"NA"))</f>
        <v>12</v>
      </c>
      <c r="I114" s="66">
        <f>IF(Valor_normalizado!I114=0,32,IFERROR(RANK(Valor_normalizado!I114,Valor_normalizado!I$98:I$129,0),"NA"))</f>
        <v>13</v>
      </c>
      <c r="J114" s="66">
        <f>IF(Valor_normalizado!J114=0,32,IFERROR(RANK(Valor_normalizado!J114,Valor_normalizado!J$98:J$129,0),"NA"))</f>
        <v>25</v>
      </c>
      <c r="K114" s="66">
        <f>IF(Valor_normalizado!K114=0,32,IFERROR(RANK(Valor_normalizado!K114,Valor_normalizado!K$98:K$129,0),"NA"))</f>
        <v>16</v>
      </c>
      <c r="L114" s="66">
        <f>IF(Valor_normalizado!L114=0,32,IFERROR(RANK(Valor_normalizado!L114,Valor_normalizado!L$98:L$129,0),"NA"))</f>
        <v>21</v>
      </c>
      <c r="M114" s="66">
        <f>IF(Valor_normalizado!M114=0,32,IFERROR(RANK(Valor_normalizado!M114,Valor_normalizado!M$98:M$129,0),"NA"))</f>
        <v>12</v>
      </c>
      <c r="N114" s="66">
        <f>IF(Valor_normalizado!N114=0,32,IFERROR(RANK(Valor_normalizado!N114,Valor_normalizado!N$98:N$129,0),"NA"))</f>
        <v>14</v>
      </c>
      <c r="O114" s="66">
        <f>IF(Valor_normalizado!O114=0,32,IFERROR(RANK(Valor_normalizado!O114,Valor_normalizado!O$98:O$129,0),"NA"))</f>
        <v>11</v>
      </c>
      <c r="P114" s="66">
        <f>IF(Valor_normalizado!P114=0,32,IFERROR(RANK(Valor_normalizado!P114,Valor_normalizado!P$98:P$129,0),"NA"))</f>
        <v>9</v>
      </c>
      <c r="Q114" s="66">
        <f>IF(Valor_normalizado!Q114=0,32,IFERROR(RANK(Valor_normalizado!Q114,Valor_normalizado!Q$98:Q$129,0),"NA"))</f>
        <v>13</v>
      </c>
      <c r="R114" s="66">
        <f>IF(Valor_normalizado!R114=0,32,IFERROR(RANK(Valor_normalizado!R114,Valor_normalizado!R$98:R$129,0),"NA"))</f>
        <v>14</v>
      </c>
      <c r="S114" s="66">
        <f>IF(Valor_normalizado!S114=0,32,IFERROR(RANK(Valor_normalizado!S114,Valor_normalizado!S$98:S$129,0),"NA"))</f>
        <v>18</v>
      </c>
      <c r="T114" s="66">
        <f>IF(Valor_normalizado!T114=0,32,IFERROR(RANK(Valor_normalizado!T114,Valor_normalizado!T$98:T$129,0),"NA"))</f>
        <v>32</v>
      </c>
      <c r="U114" s="66">
        <f>IF(Valor_normalizado!U114=0,32,IFERROR(RANK(Valor_normalizado!U114,Valor_normalizado!U$98:U$129,0),"NA"))</f>
        <v>32</v>
      </c>
      <c r="V114" s="66">
        <f>IF(Valor_normalizado!V114=0,32,IFERROR(RANK(Valor_normalizado!V114,Valor_normalizado!V$98:V$129,0),"NA"))</f>
        <v>21</v>
      </c>
      <c r="W114" s="66">
        <f>IF(Valor_normalizado!W114=0,32,IFERROR(RANK(Valor_normalizado!W114,Valor_normalizado!W$98:W$129,0),"NA"))</f>
        <v>21</v>
      </c>
      <c r="X114" s="66">
        <f>IF(Valor_normalizado!X114=0,32,IFERROR(RANK(Valor_normalizado!X114,Valor_normalizado!X$98:X$129,0),"NA"))</f>
        <v>20</v>
      </c>
      <c r="Y114" s="66">
        <f>IF(Valor_normalizado!Y114=0,32,IFERROR(RANK(Valor_normalizado!Y114,Valor_normalizado!Y$98:Y$129,0),"NA"))</f>
        <v>17</v>
      </c>
    </row>
    <row r="115" ht="14.25" hidden="1" customHeight="1">
      <c r="A115" s="51" t="s">
        <v>312</v>
      </c>
      <c r="B115" s="23">
        <v>2022.0</v>
      </c>
      <c r="C115" s="66">
        <f>IF(Valor_normalizado!C115=0,32,IFERROR(RANK(Valor_normalizado!C115,Valor_normalizado!C$98:C$129,0),"NA"))</f>
        <v>7</v>
      </c>
      <c r="D115" s="66">
        <f>IF(Valor_normalizado!D115=0,32,IFERROR(RANK(Valor_normalizado!D115,Valor_normalizado!D$98:D$129,0),"NA"))</f>
        <v>20</v>
      </c>
      <c r="E115" s="66">
        <f>IF(Valor_normalizado!E115=0,32,IFERROR(RANK(Valor_normalizado!E115,Valor_normalizado!E$98:E$129,0),"NA"))</f>
        <v>10</v>
      </c>
      <c r="F115" s="66">
        <f>IF(Valor_normalizado!F115=0,32,IFERROR(RANK(Valor_normalizado!F115,Valor_normalizado!F$98:F$129,0),"NA"))</f>
        <v>11</v>
      </c>
      <c r="G115" s="66">
        <f>IF(Valor_normalizado!G115=0,32,IFERROR(RANK(Valor_normalizado!G115,Valor_normalizado!G$98:G$129,0),"NA"))</f>
        <v>10</v>
      </c>
      <c r="H115" s="66">
        <f>IF(Valor_normalizado!H115=0,32,IFERROR(RANK(Valor_normalizado!H115,Valor_normalizado!H$98:H$129,0),"NA"))</f>
        <v>11</v>
      </c>
      <c r="I115" s="66">
        <f>IF(Valor_normalizado!I115=0,32,IFERROR(RANK(Valor_normalizado!I115,Valor_normalizado!I$98:I$129,0),"NA"))</f>
        <v>12</v>
      </c>
      <c r="J115" s="66">
        <f>IF(Valor_normalizado!J115=0,32,IFERROR(RANK(Valor_normalizado!J115,Valor_normalizado!J$98:J$129,0),"NA"))</f>
        <v>21</v>
      </c>
      <c r="K115" s="66">
        <f>IF(Valor_normalizado!K115=0,32,IFERROR(RANK(Valor_normalizado!K115,Valor_normalizado!K$98:K$129,0),"NA"))</f>
        <v>14</v>
      </c>
      <c r="L115" s="66">
        <f>IF(Valor_normalizado!L115=0,32,IFERROR(RANK(Valor_normalizado!L115,Valor_normalizado!L$98:L$129,0),"NA"))</f>
        <v>12</v>
      </c>
      <c r="M115" s="66">
        <f>IF(Valor_normalizado!M115=0,32,IFERROR(RANK(Valor_normalizado!M115,Valor_normalizado!M$98:M$129,0),"NA"))</f>
        <v>18</v>
      </c>
      <c r="N115" s="66">
        <f>IF(Valor_normalizado!N115=0,32,IFERROR(RANK(Valor_normalizado!N115,Valor_normalizado!N$98:N$129,0),"NA"))</f>
        <v>32</v>
      </c>
      <c r="O115" s="66">
        <f>IF(Valor_normalizado!O115=0,32,IFERROR(RANK(Valor_normalizado!O115,Valor_normalizado!O$98:O$129,0),"NA"))</f>
        <v>16</v>
      </c>
      <c r="P115" s="66">
        <f>IF(Valor_normalizado!P115=0,32,IFERROR(RANK(Valor_normalizado!P115,Valor_normalizado!P$98:P$129,0),"NA"))</f>
        <v>1</v>
      </c>
      <c r="Q115" s="66">
        <f>IF(Valor_normalizado!Q115=0,32,IFERROR(RANK(Valor_normalizado!Q115,Valor_normalizado!Q$98:Q$129,0),"NA"))</f>
        <v>10</v>
      </c>
      <c r="R115" s="66">
        <f>IF(Valor_normalizado!R115=0,32,IFERROR(RANK(Valor_normalizado!R115,Valor_normalizado!R$98:R$129,0),"NA"))</f>
        <v>13</v>
      </c>
      <c r="S115" s="66">
        <f>IF(Valor_normalizado!S115=0,32,IFERROR(RANK(Valor_normalizado!S115,Valor_normalizado!S$98:S$129,0),"NA"))</f>
        <v>8</v>
      </c>
      <c r="T115" s="66">
        <f>IF(Valor_normalizado!T115=0,32,IFERROR(RANK(Valor_normalizado!T115,Valor_normalizado!T$98:T$129,0),"NA"))</f>
        <v>14</v>
      </c>
      <c r="U115" s="66">
        <f>IF(Valor_normalizado!U115=0,32,IFERROR(RANK(Valor_normalizado!U115,Valor_normalizado!U$98:U$129,0),"NA"))</f>
        <v>18</v>
      </c>
      <c r="V115" s="66">
        <f>IF(Valor_normalizado!V115=0,32,IFERROR(RANK(Valor_normalizado!V115,Valor_normalizado!V$98:V$129,0),"NA"))</f>
        <v>13</v>
      </c>
      <c r="W115" s="66">
        <f>IF(Valor_normalizado!W115=0,32,IFERROR(RANK(Valor_normalizado!W115,Valor_normalizado!W$98:W$129,0),"NA"))</f>
        <v>12</v>
      </c>
      <c r="X115" s="66">
        <f>IF(Valor_normalizado!X115=0,32,IFERROR(RANK(Valor_normalizado!X115,Valor_normalizado!X$98:X$129,0),"NA"))</f>
        <v>12</v>
      </c>
      <c r="Y115" s="66">
        <f>IF(Valor_normalizado!Y115=0,32,IFERROR(RANK(Valor_normalizado!Y115,Valor_normalizado!Y$98:Y$129,0),"NA"))</f>
        <v>14</v>
      </c>
    </row>
    <row r="116" ht="14.25" hidden="1" customHeight="1">
      <c r="A116" s="49" t="s">
        <v>314</v>
      </c>
      <c r="B116" s="23">
        <v>2022.0</v>
      </c>
      <c r="C116" s="66">
        <f>IF(Valor_normalizado!C116=0,32,IFERROR(RANK(Valor_normalizado!C116,Valor_normalizado!C$98:C$129,0),"NA"))</f>
        <v>11</v>
      </c>
      <c r="D116" s="66">
        <f>IF(Valor_normalizado!D116=0,32,IFERROR(RANK(Valor_normalizado!D116,Valor_normalizado!D$98:D$129,0),"NA"))</f>
        <v>13</v>
      </c>
      <c r="E116" s="66">
        <f>IF(Valor_normalizado!E116=0,32,IFERROR(RANK(Valor_normalizado!E116,Valor_normalizado!E$98:E$129,0),"NA"))</f>
        <v>12</v>
      </c>
      <c r="F116" s="66">
        <f>IF(Valor_normalizado!F116=0,32,IFERROR(RANK(Valor_normalizado!F116,Valor_normalizado!F$98:F$129,0),"NA"))</f>
        <v>16</v>
      </c>
      <c r="G116" s="66">
        <f>IF(Valor_normalizado!G116=0,32,IFERROR(RANK(Valor_normalizado!G116,Valor_normalizado!G$98:G$129,0),"NA"))</f>
        <v>12</v>
      </c>
      <c r="H116" s="66">
        <f>IF(Valor_normalizado!H116=0,32,IFERROR(RANK(Valor_normalizado!H116,Valor_normalizado!H$98:H$129,0),"NA"))</f>
        <v>9</v>
      </c>
      <c r="I116" s="66">
        <f>IF(Valor_normalizado!I116=0,32,IFERROR(RANK(Valor_normalizado!I116,Valor_normalizado!I$98:I$129,0),"NA"))</f>
        <v>11</v>
      </c>
      <c r="J116" s="66">
        <f>IF(Valor_normalizado!J116=0,32,IFERROR(RANK(Valor_normalizado!J116,Valor_normalizado!J$98:J$129,0),"NA"))</f>
        <v>20</v>
      </c>
      <c r="K116" s="66">
        <f>IF(Valor_normalizado!K116=0,32,IFERROR(RANK(Valor_normalizado!K116,Valor_normalizado!K$98:K$129,0),"NA"))</f>
        <v>11</v>
      </c>
      <c r="L116" s="66">
        <f>IF(Valor_normalizado!L116=0,32,IFERROR(RANK(Valor_normalizado!L116,Valor_normalizado!L$98:L$129,0),"NA"))</f>
        <v>13</v>
      </c>
      <c r="M116" s="66">
        <f>IF(Valor_normalizado!M116=0,32,IFERROR(RANK(Valor_normalizado!M116,Valor_normalizado!M$98:M$129,0),"NA"))</f>
        <v>20</v>
      </c>
      <c r="N116" s="66">
        <f>IF(Valor_normalizado!N116=0,32,IFERROR(RANK(Valor_normalizado!N116,Valor_normalizado!N$98:N$129,0),"NA"))</f>
        <v>7</v>
      </c>
      <c r="O116" s="66">
        <f>IF(Valor_normalizado!O116=0,32,IFERROR(RANK(Valor_normalizado!O116,Valor_normalizado!O$98:O$129,0),"NA"))</f>
        <v>8</v>
      </c>
      <c r="P116" s="66">
        <f>IF(Valor_normalizado!P116=0,32,IFERROR(RANK(Valor_normalizado!P116,Valor_normalizado!P$98:P$129,0),"NA"))</f>
        <v>21</v>
      </c>
      <c r="Q116" s="66">
        <f>IF(Valor_normalizado!Q116=0,32,IFERROR(RANK(Valor_normalizado!Q116,Valor_normalizado!Q$98:Q$129,0),"NA"))</f>
        <v>17</v>
      </c>
      <c r="R116" s="66">
        <f>IF(Valor_normalizado!R116=0,32,IFERROR(RANK(Valor_normalizado!R116,Valor_normalizado!R$98:R$129,0),"NA"))</f>
        <v>16</v>
      </c>
      <c r="S116" s="66">
        <f>IF(Valor_normalizado!S116=0,32,IFERROR(RANK(Valor_normalizado!S116,Valor_normalizado!S$98:S$129,0),"NA"))</f>
        <v>14</v>
      </c>
      <c r="T116" s="66">
        <f>IF(Valor_normalizado!T116=0,32,IFERROR(RANK(Valor_normalizado!T116,Valor_normalizado!T$98:T$129,0),"NA"))</f>
        <v>17</v>
      </c>
      <c r="U116" s="66">
        <f>IF(Valor_normalizado!U116=0,32,IFERROR(RANK(Valor_normalizado!U116,Valor_normalizado!U$98:U$129,0),"NA"))</f>
        <v>19</v>
      </c>
      <c r="V116" s="66">
        <f>IF(Valor_normalizado!V116=0,32,IFERROR(RANK(Valor_normalizado!V116,Valor_normalizado!V$98:V$129,0),"NA"))</f>
        <v>16</v>
      </c>
      <c r="W116" s="66">
        <f>IF(Valor_normalizado!W116=0,32,IFERROR(RANK(Valor_normalizado!W116,Valor_normalizado!W$98:W$129,0),"NA"))</f>
        <v>20</v>
      </c>
      <c r="X116" s="66">
        <f>IF(Valor_normalizado!X116=0,32,IFERROR(RANK(Valor_normalizado!X116,Valor_normalizado!X$98:X$129,0),"NA"))</f>
        <v>15</v>
      </c>
      <c r="Y116" s="66">
        <f>IF(Valor_normalizado!Y116=0,32,IFERROR(RANK(Valor_normalizado!Y116,Valor_normalizado!Y$98:Y$129,0),"NA"))</f>
        <v>12</v>
      </c>
    </row>
    <row r="117" ht="14.25" hidden="1" customHeight="1">
      <c r="A117" s="51" t="s">
        <v>309</v>
      </c>
      <c r="B117" s="23">
        <v>2022.0</v>
      </c>
      <c r="C117" s="66">
        <f>IF(Valor_normalizado!C117=0,32,IFERROR(RANK(Valor_normalizado!C117,Valor_normalizado!C$98:C$129,0),"NA"))</f>
        <v>5</v>
      </c>
      <c r="D117" s="66">
        <f>IF(Valor_normalizado!D117=0,32,IFERROR(RANK(Valor_normalizado!D117,Valor_normalizado!D$98:D$129,0),"NA"))</f>
        <v>18</v>
      </c>
      <c r="E117" s="66">
        <f>IF(Valor_normalizado!E117=0,32,IFERROR(RANK(Valor_normalizado!E117,Valor_normalizado!E$98:E$129,0),"NA"))</f>
        <v>4</v>
      </c>
      <c r="F117" s="66">
        <f>IF(Valor_normalizado!F117=0,32,IFERROR(RANK(Valor_normalizado!F117,Valor_normalizado!F$98:F$129,0),"NA"))</f>
        <v>4</v>
      </c>
      <c r="G117" s="66">
        <f>IF(Valor_normalizado!G117=0,32,IFERROR(RANK(Valor_normalizado!G117,Valor_normalizado!G$98:G$129,0),"NA"))</f>
        <v>4</v>
      </c>
      <c r="H117" s="66">
        <f>IF(Valor_normalizado!H117=0,32,IFERROR(RANK(Valor_normalizado!H117,Valor_normalizado!H$98:H$129,0),"NA"))</f>
        <v>4</v>
      </c>
      <c r="I117" s="66">
        <f>IF(Valor_normalizado!I117=0,32,IFERROR(RANK(Valor_normalizado!I117,Valor_normalizado!I$98:I$129,0),"NA"))</f>
        <v>3</v>
      </c>
      <c r="J117" s="66">
        <f>IF(Valor_normalizado!J117=0,32,IFERROR(RANK(Valor_normalizado!J117,Valor_normalizado!J$98:J$129,0),"NA"))</f>
        <v>10</v>
      </c>
      <c r="K117" s="66">
        <f>IF(Valor_normalizado!K117=0,32,IFERROR(RANK(Valor_normalizado!K117,Valor_normalizado!K$98:K$129,0),"NA"))</f>
        <v>4</v>
      </c>
      <c r="L117" s="66">
        <f>IF(Valor_normalizado!L117=0,32,IFERROR(RANK(Valor_normalizado!L117,Valor_normalizado!L$98:L$129,0),"NA"))</f>
        <v>4</v>
      </c>
      <c r="M117" s="66">
        <f>IF(Valor_normalizado!M117=0,32,IFERROR(RANK(Valor_normalizado!M117,Valor_normalizado!M$98:M$129,0),"NA"))</f>
        <v>11</v>
      </c>
      <c r="N117" s="66">
        <f>IF(Valor_normalizado!N117=0,32,IFERROR(RANK(Valor_normalizado!N117,Valor_normalizado!N$98:N$129,0),"NA"))</f>
        <v>11</v>
      </c>
      <c r="O117" s="66">
        <f>IF(Valor_normalizado!O117=0,32,IFERROR(RANK(Valor_normalizado!O117,Valor_normalizado!O$98:O$129,0),"NA"))</f>
        <v>13</v>
      </c>
      <c r="P117" s="66">
        <f>IF(Valor_normalizado!P117=0,32,IFERROR(RANK(Valor_normalizado!P117,Valor_normalizado!P$98:P$129,0),"NA"))</f>
        <v>6</v>
      </c>
      <c r="Q117" s="66">
        <f>IF(Valor_normalizado!Q117=0,32,IFERROR(RANK(Valor_normalizado!Q117,Valor_normalizado!Q$98:Q$129,0),"NA"))</f>
        <v>2</v>
      </c>
      <c r="R117" s="66">
        <f>IF(Valor_normalizado!R117=0,32,IFERROR(RANK(Valor_normalizado!R117,Valor_normalizado!R$98:R$129,0),"NA"))</f>
        <v>7</v>
      </c>
      <c r="S117" s="66">
        <f>IF(Valor_normalizado!S117=0,32,IFERROR(RANK(Valor_normalizado!S117,Valor_normalizado!S$98:S$129,0),"NA"))</f>
        <v>9</v>
      </c>
      <c r="T117" s="66">
        <f>IF(Valor_normalizado!T117=0,32,IFERROR(RANK(Valor_normalizado!T117,Valor_normalizado!T$98:T$129,0),"NA"))</f>
        <v>8</v>
      </c>
      <c r="U117" s="66">
        <f>IF(Valor_normalizado!U117=0,32,IFERROR(RANK(Valor_normalizado!U117,Valor_normalizado!U$98:U$129,0),"NA"))</f>
        <v>3</v>
      </c>
      <c r="V117" s="66">
        <f>IF(Valor_normalizado!V117=0,32,IFERROR(RANK(Valor_normalizado!V117,Valor_normalizado!V$98:V$129,0),"NA"))</f>
        <v>5</v>
      </c>
      <c r="W117" s="66">
        <f>IF(Valor_normalizado!W117=0,32,IFERROR(RANK(Valor_normalizado!W117,Valor_normalizado!W$98:W$129,0),"NA"))</f>
        <v>6</v>
      </c>
      <c r="X117" s="66">
        <f>IF(Valor_normalizado!X117=0,32,IFERROR(RANK(Valor_normalizado!X117,Valor_normalizado!X$98:X$129,0),"NA"))</f>
        <v>6</v>
      </c>
      <c r="Y117" s="66">
        <f>IF(Valor_normalizado!Y117=0,32,IFERROR(RANK(Valor_normalizado!Y117,Valor_normalizado!Y$98:Y$129,0),"NA"))</f>
        <v>6</v>
      </c>
    </row>
    <row r="118" ht="14.25" hidden="1" customHeight="1">
      <c r="A118" s="49" t="s">
        <v>316</v>
      </c>
      <c r="B118" s="23">
        <v>2022.0</v>
      </c>
      <c r="C118" s="66">
        <f>IF(Valor_normalizado!C118=0,32,IFERROR(RANK(Valor_normalizado!C118,Valor_normalizado!C$98:C$129,0),"NA"))</f>
        <v>14</v>
      </c>
      <c r="D118" s="66">
        <f>IF(Valor_normalizado!D118=0,32,IFERROR(RANK(Valor_normalizado!D118,Valor_normalizado!D$98:D$129,0),"NA"))</f>
        <v>17</v>
      </c>
      <c r="E118" s="66">
        <f>IF(Valor_normalizado!E118=0,32,IFERROR(RANK(Valor_normalizado!E118,Valor_normalizado!E$98:E$129,0),"NA"))</f>
        <v>13</v>
      </c>
      <c r="F118" s="66">
        <f>IF(Valor_normalizado!F118=0,32,IFERROR(RANK(Valor_normalizado!F118,Valor_normalizado!F$98:F$129,0),"NA"))</f>
        <v>17</v>
      </c>
      <c r="G118" s="66">
        <f>IF(Valor_normalizado!G118=0,32,IFERROR(RANK(Valor_normalizado!G118,Valor_normalizado!G$98:G$129,0),"NA"))</f>
        <v>14</v>
      </c>
      <c r="H118" s="66">
        <f>IF(Valor_normalizado!H118=0,32,IFERROR(RANK(Valor_normalizado!H118,Valor_normalizado!H$98:H$129,0),"NA"))</f>
        <v>2</v>
      </c>
      <c r="I118" s="66">
        <f>IF(Valor_normalizado!I118=0,32,IFERROR(RANK(Valor_normalizado!I118,Valor_normalizado!I$98:I$129,0),"NA"))</f>
        <v>5</v>
      </c>
      <c r="J118" s="66">
        <f>IF(Valor_normalizado!J118=0,32,IFERROR(RANK(Valor_normalizado!J118,Valor_normalizado!J$98:J$129,0),"NA"))</f>
        <v>9</v>
      </c>
      <c r="K118" s="66">
        <f>IF(Valor_normalizado!K118=0,32,IFERROR(RANK(Valor_normalizado!K118,Valor_normalizado!K$98:K$129,0),"NA"))</f>
        <v>5</v>
      </c>
      <c r="L118" s="66">
        <f>IF(Valor_normalizado!L118=0,32,IFERROR(RANK(Valor_normalizado!L118,Valor_normalizado!L$98:L$129,0),"NA"))</f>
        <v>7</v>
      </c>
      <c r="M118" s="66">
        <f>IF(Valor_normalizado!M118=0,32,IFERROR(RANK(Valor_normalizado!M118,Valor_normalizado!M$98:M$129,0),"NA"))</f>
        <v>6</v>
      </c>
      <c r="N118" s="66">
        <f>IF(Valor_normalizado!N118=0,32,IFERROR(RANK(Valor_normalizado!N118,Valor_normalizado!N$98:N$129,0),"NA"))</f>
        <v>12</v>
      </c>
      <c r="O118" s="66">
        <f>IF(Valor_normalizado!O118=0,32,IFERROR(RANK(Valor_normalizado!O118,Valor_normalizado!O$98:O$129,0),"NA"))</f>
        <v>3</v>
      </c>
      <c r="P118" s="66">
        <f>IF(Valor_normalizado!P118=0,32,IFERROR(RANK(Valor_normalizado!P118,Valor_normalizado!P$98:P$129,0),"NA"))</f>
        <v>3</v>
      </c>
      <c r="Q118" s="66">
        <f>IF(Valor_normalizado!Q118=0,32,IFERROR(RANK(Valor_normalizado!Q118,Valor_normalizado!Q$98:Q$129,0),"NA"))</f>
        <v>14</v>
      </c>
      <c r="R118" s="66">
        <f>IF(Valor_normalizado!R118=0,32,IFERROR(RANK(Valor_normalizado!R118,Valor_normalizado!R$98:R$129,0),"NA"))</f>
        <v>6</v>
      </c>
      <c r="S118" s="66">
        <f>IF(Valor_normalizado!S118=0,32,IFERROR(RANK(Valor_normalizado!S118,Valor_normalizado!S$98:S$129,0),"NA"))</f>
        <v>7</v>
      </c>
      <c r="T118" s="66">
        <f>IF(Valor_normalizado!T118=0,32,IFERROR(RANK(Valor_normalizado!T118,Valor_normalizado!T$98:T$129,0),"NA"))</f>
        <v>7</v>
      </c>
      <c r="U118" s="66">
        <f>IF(Valor_normalizado!U118=0,32,IFERROR(RANK(Valor_normalizado!U118,Valor_normalizado!U$98:U$129,0),"NA"))</f>
        <v>11</v>
      </c>
      <c r="V118" s="66">
        <f>IF(Valor_normalizado!V118=0,32,IFERROR(RANK(Valor_normalizado!V118,Valor_normalizado!V$98:V$129,0),"NA"))</f>
        <v>17</v>
      </c>
      <c r="W118" s="66">
        <f>IF(Valor_normalizado!W118=0,32,IFERROR(RANK(Valor_normalizado!W118,Valor_normalizado!W$98:W$129,0),"NA"))</f>
        <v>10</v>
      </c>
      <c r="X118" s="66">
        <f>IF(Valor_normalizado!X118=0,32,IFERROR(RANK(Valor_normalizado!X118,Valor_normalizado!X$98:X$129,0),"NA"))</f>
        <v>8</v>
      </c>
      <c r="Y118" s="66">
        <f>IF(Valor_normalizado!Y118=0,32,IFERROR(RANK(Valor_normalizado!Y118,Valor_normalizado!Y$98:Y$129,0),"NA"))</f>
        <v>9</v>
      </c>
    </row>
    <row r="119" ht="14.25" hidden="1" customHeight="1">
      <c r="A119" s="51" t="s">
        <v>333</v>
      </c>
      <c r="B119" s="23">
        <v>2022.0</v>
      </c>
      <c r="C119" s="66">
        <f>IF(Valor_normalizado!C119=0,32,IFERROR(RANK(Valor_normalizado!C119,Valor_normalizado!C$98:C$129,0),"NA"))</f>
        <v>27</v>
      </c>
      <c r="D119" s="66">
        <f>IF(Valor_normalizado!D119=0,32,IFERROR(RANK(Valor_normalizado!D119,Valor_normalizado!D$98:D$129,0),"NA"))</f>
        <v>32</v>
      </c>
      <c r="E119" s="66">
        <f>IF(Valor_normalizado!E119=0,32,IFERROR(RANK(Valor_normalizado!E119,Valor_normalizado!E$98:E$129,0),"NA"))</f>
        <v>31</v>
      </c>
      <c r="F119" s="66">
        <f>IF(Valor_normalizado!F119=0,32,IFERROR(RANK(Valor_normalizado!F119,Valor_normalizado!F$98:F$129,0),"NA"))</f>
        <v>31</v>
      </c>
      <c r="G119" s="66">
        <f>IF(Valor_normalizado!G119=0,32,IFERROR(RANK(Valor_normalizado!G119,Valor_normalizado!G$98:G$129,0),"NA"))</f>
        <v>30</v>
      </c>
      <c r="H119" s="66">
        <f>IF(Valor_normalizado!H119=0,32,IFERROR(RANK(Valor_normalizado!H119,Valor_normalizado!H$98:H$129,0),"NA"))</f>
        <v>28</v>
      </c>
      <c r="I119" s="66">
        <f>IF(Valor_normalizado!I119=0,32,IFERROR(RANK(Valor_normalizado!I119,Valor_normalizado!I$98:I$129,0),"NA"))</f>
        <v>30</v>
      </c>
      <c r="J119" s="66">
        <f>IF(Valor_normalizado!J119=0,32,IFERROR(RANK(Valor_normalizado!J119,Valor_normalizado!J$98:J$129,0),"NA"))</f>
        <v>23</v>
      </c>
      <c r="K119" s="66">
        <f>IF(Valor_normalizado!K119=0,32,IFERROR(RANK(Valor_normalizado!K119,Valor_normalizado!K$98:K$129,0),"NA"))</f>
        <v>28</v>
      </c>
      <c r="L119" s="66">
        <f>IF(Valor_normalizado!L119=0,32,IFERROR(RANK(Valor_normalizado!L119,Valor_normalizado!L$98:L$129,0),"NA"))</f>
        <v>30</v>
      </c>
      <c r="M119" s="66">
        <f>IF(Valor_normalizado!M119=0,32,IFERROR(RANK(Valor_normalizado!M119,Valor_normalizado!M$98:M$129,0),"NA"))</f>
        <v>32</v>
      </c>
      <c r="N119" s="66">
        <f>IF(Valor_normalizado!N119=0,32,IFERROR(RANK(Valor_normalizado!N119,Valor_normalizado!N$98:N$129,0),"NA"))</f>
        <v>32</v>
      </c>
      <c r="O119" s="66">
        <f>IF(Valor_normalizado!O119=0,32,IFERROR(RANK(Valor_normalizado!O119,Valor_normalizado!O$98:O$129,0),"NA"))</f>
        <v>32</v>
      </c>
      <c r="P119" s="66">
        <f>IF(Valor_normalizado!P119=0,32,IFERROR(RANK(Valor_normalizado!P119,Valor_normalizado!P$98:P$129,0),"NA"))</f>
        <v>32</v>
      </c>
      <c r="Q119" s="66">
        <f>IF(Valor_normalizado!Q119=0,32,IFERROR(RANK(Valor_normalizado!Q119,Valor_normalizado!Q$98:Q$129,0),"NA"))</f>
        <v>32</v>
      </c>
      <c r="R119" s="66">
        <f>IF(Valor_normalizado!R119=0,32,IFERROR(RANK(Valor_normalizado!R119,Valor_normalizado!R$98:R$129,0),"NA"))</f>
        <v>32</v>
      </c>
      <c r="S119" s="66">
        <f>IF(Valor_normalizado!S119=0,32,IFERROR(RANK(Valor_normalizado!S119,Valor_normalizado!S$98:S$129,0),"NA"))</f>
        <v>32</v>
      </c>
      <c r="T119" s="66">
        <f>IF(Valor_normalizado!T119=0,32,IFERROR(RANK(Valor_normalizado!T119,Valor_normalizado!T$98:T$129,0),"NA"))</f>
        <v>32</v>
      </c>
      <c r="U119" s="66">
        <f>IF(Valor_normalizado!U119=0,32,IFERROR(RANK(Valor_normalizado!U119,Valor_normalizado!U$98:U$129,0),"NA"))</f>
        <v>32</v>
      </c>
      <c r="V119" s="66">
        <f>IF(Valor_normalizado!V119=0,32,IFERROR(RANK(Valor_normalizado!V119,Valor_normalizado!V$98:V$129,0),"NA"))</f>
        <v>32</v>
      </c>
      <c r="W119" s="66">
        <f>IF(Valor_normalizado!W119=0,32,IFERROR(RANK(Valor_normalizado!W119,Valor_normalizado!W$98:W$129,0),"NA"))</f>
        <v>32</v>
      </c>
      <c r="X119" s="66">
        <f>IF(Valor_normalizado!X119=0,32,IFERROR(RANK(Valor_normalizado!X119,Valor_normalizado!X$98:X$129,0),"NA"))</f>
        <v>32</v>
      </c>
      <c r="Y119" s="66">
        <f>IF(Valor_normalizado!Y119=0,32,IFERROR(RANK(Valor_normalizado!Y119,Valor_normalizado!Y$98:Y$129,0),"NA"))</f>
        <v>30</v>
      </c>
    </row>
    <row r="120" ht="14.25" hidden="1" customHeight="1">
      <c r="A120" s="49" t="s">
        <v>325</v>
      </c>
      <c r="B120" s="23">
        <v>2022.0</v>
      </c>
      <c r="C120" s="66">
        <f>IF(Valor_normalizado!C120=0,32,IFERROR(RANK(Valor_normalizado!C120,Valor_normalizado!C$98:C$129,0),"NA"))</f>
        <v>24</v>
      </c>
      <c r="D120" s="66">
        <f>IF(Valor_normalizado!D120=0,32,IFERROR(RANK(Valor_normalizado!D120,Valor_normalizado!D$98:D$129,0),"NA"))</f>
        <v>26</v>
      </c>
      <c r="E120" s="66">
        <f>IF(Valor_normalizado!E120=0,32,IFERROR(RANK(Valor_normalizado!E120,Valor_normalizado!E$98:E$129,0),"NA"))</f>
        <v>19</v>
      </c>
      <c r="F120" s="66">
        <f>IF(Valor_normalizado!F120=0,32,IFERROR(RANK(Valor_normalizado!F120,Valor_normalizado!F$98:F$129,0),"NA"))</f>
        <v>28</v>
      </c>
      <c r="G120" s="66">
        <f>IF(Valor_normalizado!G120=0,32,IFERROR(RANK(Valor_normalizado!G120,Valor_normalizado!G$98:G$129,0),"NA"))</f>
        <v>26</v>
      </c>
      <c r="H120" s="66">
        <f>IF(Valor_normalizado!H120=0,32,IFERROR(RANK(Valor_normalizado!H120,Valor_normalizado!H$98:H$129,0),"NA"))</f>
        <v>17</v>
      </c>
      <c r="I120" s="66">
        <f>IF(Valor_normalizado!I120=0,32,IFERROR(RANK(Valor_normalizado!I120,Valor_normalizado!I$98:I$129,0),"NA"))</f>
        <v>22</v>
      </c>
      <c r="J120" s="66">
        <f>IF(Valor_normalizado!J120=0,32,IFERROR(RANK(Valor_normalizado!J120,Valor_normalizado!J$98:J$129,0),"NA"))</f>
        <v>21</v>
      </c>
      <c r="K120" s="66">
        <f>IF(Valor_normalizado!K120=0,32,IFERROR(RANK(Valor_normalizado!K120,Valor_normalizado!K$98:K$129,0),"NA"))</f>
        <v>22</v>
      </c>
      <c r="L120" s="66">
        <f>IF(Valor_normalizado!L120=0,32,IFERROR(RANK(Valor_normalizado!L120,Valor_normalizado!L$98:L$129,0),"NA"))</f>
        <v>24</v>
      </c>
      <c r="M120" s="66">
        <f>IF(Valor_normalizado!M120=0,32,IFERROR(RANK(Valor_normalizado!M120,Valor_normalizado!M$98:M$129,0),"NA"))</f>
        <v>24</v>
      </c>
      <c r="N120" s="66">
        <f>IF(Valor_normalizado!N120=0,32,IFERROR(RANK(Valor_normalizado!N120,Valor_normalizado!N$98:N$129,0),"NA"))</f>
        <v>32</v>
      </c>
      <c r="O120" s="66">
        <f>IF(Valor_normalizado!O120=0,32,IFERROR(RANK(Valor_normalizado!O120,Valor_normalizado!O$98:O$129,0),"NA"))</f>
        <v>21</v>
      </c>
      <c r="P120" s="66">
        <f>IF(Valor_normalizado!P120=0,32,IFERROR(RANK(Valor_normalizado!P120,Valor_normalizado!P$98:P$129,0),"NA"))</f>
        <v>32</v>
      </c>
      <c r="Q120" s="66">
        <f>IF(Valor_normalizado!Q120=0,32,IFERROR(RANK(Valor_normalizado!Q120,Valor_normalizado!Q$98:Q$129,0),"NA"))</f>
        <v>5</v>
      </c>
      <c r="R120" s="66">
        <f>IF(Valor_normalizado!R120=0,32,IFERROR(RANK(Valor_normalizado!R120,Valor_normalizado!R$98:R$129,0),"NA"))</f>
        <v>24</v>
      </c>
      <c r="S120" s="66">
        <f>IF(Valor_normalizado!S120=0,32,IFERROR(RANK(Valor_normalizado!S120,Valor_normalizado!S$98:S$129,0),"NA"))</f>
        <v>32</v>
      </c>
      <c r="T120" s="66">
        <f>IF(Valor_normalizado!T120=0,32,IFERROR(RANK(Valor_normalizado!T120,Valor_normalizado!T$98:T$129,0),"NA"))</f>
        <v>32</v>
      </c>
      <c r="U120" s="66">
        <f>IF(Valor_normalizado!U120=0,32,IFERROR(RANK(Valor_normalizado!U120,Valor_normalizado!U$98:U$129,0),"NA"))</f>
        <v>32</v>
      </c>
      <c r="V120" s="66">
        <f>IF(Valor_normalizado!V120=0,32,IFERROR(RANK(Valor_normalizado!V120,Valor_normalizado!V$98:V$129,0),"NA"))</f>
        <v>23</v>
      </c>
      <c r="W120" s="66">
        <f>IF(Valor_normalizado!W120=0,32,IFERROR(RANK(Valor_normalizado!W120,Valor_normalizado!W$98:W$129,0),"NA"))</f>
        <v>25</v>
      </c>
      <c r="X120" s="66">
        <f>IF(Valor_normalizado!X120=0,32,IFERROR(RANK(Valor_normalizado!X120,Valor_normalizado!X$98:X$129,0),"NA"))</f>
        <v>24</v>
      </c>
      <c r="Y120" s="66">
        <f>IF(Valor_normalizado!Y120=0,32,IFERROR(RANK(Valor_normalizado!Y120,Valor_normalizado!Y$98:Y$129,0),"NA"))</f>
        <v>27</v>
      </c>
    </row>
    <row r="121" ht="14.25" hidden="1" customHeight="1">
      <c r="A121" s="51" t="s">
        <v>326</v>
      </c>
      <c r="B121" s="23">
        <v>2022.0</v>
      </c>
      <c r="C121" s="66">
        <f>IF(Valor_normalizado!C121=0,32,IFERROR(RANK(Valor_normalizado!C121,Valor_normalizado!C$98:C$129,0),"NA"))</f>
        <v>22</v>
      </c>
      <c r="D121" s="66">
        <f>IF(Valor_normalizado!D121=0,32,IFERROR(RANK(Valor_normalizado!D121,Valor_normalizado!D$98:D$129,0),"NA"))</f>
        <v>19</v>
      </c>
      <c r="E121" s="66">
        <f>IF(Valor_normalizado!E121=0,32,IFERROR(RANK(Valor_normalizado!E121,Valor_normalizado!E$98:E$129,0),"NA"))</f>
        <v>30</v>
      </c>
      <c r="F121" s="66">
        <f>IF(Valor_normalizado!F121=0,32,IFERROR(RANK(Valor_normalizado!F121,Valor_normalizado!F$98:F$129,0),"NA"))</f>
        <v>27</v>
      </c>
      <c r="G121" s="66">
        <f>IF(Valor_normalizado!G121=0,32,IFERROR(RANK(Valor_normalizado!G121,Valor_normalizado!G$98:G$129,0),"NA"))</f>
        <v>24</v>
      </c>
      <c r="H121" s="66">
        <f>IF(Valor_normalizado!H121=0,32,IFERROR(RANK(Valor_normalizado!H121,Valor_normalizado!H$98:H$129,0),"NA"))</f>
        <v>23</v>
      </c>
      <c r="I121" s="66">
        <f>IF(Valor_normalizado!I121=0,32,IFERROR(RANK(Valor_normalizado!I121,Valor_normalizado!I$98:I$129,0),"NA"))</f>
        <v>25</v>
      </c>
      <c r="J121" s="66">
        <f>IF(Valor_normalizado!J121=0,32,IFERROR(RANK(Valor_normalizado!J121,Valor_normalizado!J$98:J$129,0),"NA"))</f>
        <v>11</v>
      </c>
      <c r="K121" s="66">
        <f>IF(Valor_normalizado!K121=0,32,IFERROR(RANK(Valor_normalizado!K121,Valor_normalizado!K$98:K$129,0),"NA"))</f>
        <v>21</v>
      </c>
      <c r="L121" s="66">
        <f>IF(Valor_normalizado!L121=0,32,IFERROR(RANK(Valor_normalizado!L121,Valor_normalizado!L$98:L$129,0),"NA"))</f>
        <v>23</v>
      </c>
      <c r="M121" s="66">
        <f>IF(Valor_normalizado!M121=0,32,IFERROR(RANK(Valor_normalizado!M121,Valor_normalizado!M$98:M$129,0),"NA"))</f>
        <v>14</v>
      </c>
      <c r="N121" s="66">
        <f>IF(Valor_normalizado!N121=0,32,IFERROR(RANK(Valor_normalizado!N121,Valor_normalizado!N$98:N$129,0),"NA"))</f>
        <v>32</v>
      </c>
      <c r="O121" s="66">
        <f>IF(Valor_normalizado!O121=0,32,IFERROR(RANK(Valor_normalizado!O121,Valor_normalizado!O$98:O$129,0),"NA"))</f>
        <v>12</v>
      </c>
      <c r="P121" s="66">
        <f>IF(Valor_normalizado!P121=0,32,IFERROR(RANK(Valor_normalizado!P121,Valor_normalizado!P$98:P$129,0),"NA"))</f>
        <v>22</v>
      </c>
      <c r="Q121" s="66">
        <f>IF(Valor_normalizado!Q121=0,32,IFERROR(RANK(Valor_normalizado!Q121,Valor_normalizado!Q$98:Q$129,0),"NA"))</f>
        <v>11</v>
      </c>
      <c r="R121" s="66">
        <f>IF(Valor_normalizado!R121=0,32,IFERROR(RANK(Valor_normalizado!R121,Valor_normalizado!R$98:R$129,0),"NA"))</f>
        <v>20</v>
      </c>
      <c r="S121" s="66">
        <f>IF(Valor_normalizado!S121=0,32,IFERROR(RANK(Valor_normalizado!S121,Valor_normalizado!S$98:S$129,0),"NA"))</f>
        <v>17</v>
      </c>
      <c r="T121" s="66">
        <f>IF(Valor_normalizado!T121=0,32,IFERROR(RANK(Valor_normalizado!T121,Valor_normalizado!T$98:T$129,0),"NA"))</f>
        <v>4</v>
      </c>
      <c r="U121" s="66">
        <f>IF(Valor_normalizado!U121=0,32,IFERROR(RANK(Valor_normalizado!U121,Valor_normalizado!U$98:U$129,0),"NA"))</f>
        <v>13</v>
      </c>
      <c r="V121" s="66">
        <f>IF(Valor_normalizado!V121=0,32,IFERROR(RANK(Valor_normalizado!V121,Valor_normalizado!V$98:V$129,0),"NA"))</f>
        <v>24</v>
      </c>
      <c r="W121" s="66">
        <f>IF(Valor_normalizado!W121=0,32,IFERROR(RANK(Valor_normalizado!W121,Valor_normalizado!W$98:W$129,0),"NA"))</f>
        <v>13</v>
      </c>
      <c r="X121" s="66">
        <f>IF(Valor_normalizado!X121=0,32,IFERROR(RANK(Valor_normalizado!X121,Valor_normalizado!X$98:X$129,0),"NA"))</f>
        <v>17</v>
      </c>
      <c r="Y121" s="66">
        <f>IF(Valor_normalizado!Y121=0,32,IFERROR(RANK(Valor_normalizado!Y121,Valor_normalizado!Y$98:Y$129,0),"NA"))</f>
        <v>24</v>
      </c>
    </row>
    <row r="122" ht="14.25" hidden="1" customHeight="1">
      <c r="A122" s="49" t="s">
        <v>330</v>
      </c>
      <c r="B122" s="23">
        <v>2022.0</v>
      </c>
      <c r="C122" s="66">
        <f>IF(Valor_normalizado!C122=0,32,IFERROR(RANK(Valor_normalizado!C122,Valor_normalizado!C$98:C$129,0),"NA"))</f>
        <v>26</v>
      </c>
      <c r="D122" s="66">
        <f>IF(Valor_normalizado!D122=0,32,IFERROR(RANK(Valor_normalizado!D122,Valor_normalizado!D$98:D$129,0),"NA"))</f>
        <v>29</v>
      </c>
      <c r="E122" s="66">
        <f>IF(Valor_normalizado!E122=0,32,IFERROR(RANK(Valor_normalizado!E122,Valor_normalizado!E$98:E$129,0),"NA"))</f>
        <v>14</v>
      </c>
      <c r="F122" s="66">
        <f>IF(Valor_normalizado!F122=0,32,IFERROR(RANK(Valor_normalizado!F122,Valor_normalizado!F$98:F$129,0),"NA"))</f>
        <v>1</v>
      </c>
      <c r="G122" s="66">
        <f>IF(Valor_normalizado!G122=0,32,IFERROR(RANK(Valor_normalizado!G122,Valor_normalizado!G$98:G$129,0),"NA"))</f>
        <v>21</v>
      </c>
      <c r="H122" s="66">
        <f>IF(Valor_normalizado!H122=0,32,IFERROR(RANK(Valor_normalizado!H122,Valor_normalizado!H$98:H$129,0),"NA"))</f>
        <v>27</v>
      </c>
      <c r="I122" s="66">
        <f>IF(Valor_normalizado!I122=0,32,IFERROR(RANK(Valor_normalizado!I122,Valor_normalizado!I$98:I$129,0),"NA"))</f>
        <v>29</v>
      </c>
      <c r="J122" s="66">
        <f>IF(Valor_normalizado!J122=0,32,IFERROR(RANK(Valor_normalizado!J122,Valor_normalizado!J$98:J$129,0),"NA"))</f>
        <v>29</v>
      </c>
      <c r="K122" s="66">
        <f>IF(Valor_normalizado!K122=0,32,IFERROR(RANK(Valor_normalizado!K122,Valor_normalizado!K$98:K$129,0),"NA"))</f>
        <v>29</v>
      </c>
      <c r="L122" s="66">
        <f>IF(Valor_normalizado!L122=0,32,IFERROR(RANK(Valor_normalizado!L122,Valor_normalizado!L$98:L$129,0),"NA"))</f>
        <v>25</v>
      </c>
      <c r="M122" s="66">
        <f>IF(Valor_normalizado!M122=0,32,IFERROR(RANK(Valor_normalizado!M122,Valor_normalizado!M$98:M$129,0),"NA"))</f>
        <v>22</v>
      </c>
      <c r="N122" s="66">
        <f>IF(Valor_normalizado!N122=0,32,IFERROR(RANK(Valor_normalizado!N122,Valor_normalizado!N$98:N$129,0),"NA"))</f>
        <v>32</v>
      </c>
      <c r="O122" s="66">
        <f>IF(Valor_normalizado!O122=0,32,IFERROR(RANK(Valor_normalizado!O122,Valor_normalizado!O$98:O$129,0),"NA"))</f>
        <v>26</v>
      </c>
      <c r="P122" s="66">
        <f>IF(Valor_normalizado!P122=0,32,IFERROR(RANK(Valor_normalizado!P122,Valor_normalizado!P$98:P$129,0),"NA"))</f>
        <v>32</v>
      </c>
      <c r="Q122" s="66">
        <f>IF(Valor_normalizado!Q122=0,32,IFERROR(RANK(Valor_normalizado!Q122,Valor_normalizado!Q$98:Q$129,0),"NA"))</f>
        <v>32</v>
      </c>
      <c r="R122" s="66">
        <f>IF(Valor_normalizado!R122=0,32,IFERROR(RANK(Valor_normalizado!R122,Valor_normalizado!R$98:R$129,0),"NA"))</f>
        <v>25</v>
      </c>
      <c r="S122" s="66">
        <f>IF(Valor_normalizado!S122=0,32,IFERROR(RANK(Valor_normalizado!S122,Valor_normalizado!S$98:S$129,0),"NA"))</f>
        <v>32</v>
      </c>
      <c r="T122" s="66">
        <f>IF(Valor_normalizado!T122=0,32,IFERROR(RANK(Valor_normalizado!T122,Valor_normalizado!T$98:T$129,0),"NA"))</f>
        <v>32</v>
      </c>
      <c r="U122" s="66">
        <f>IF(Valor_normalizado!U122=0,32,IFERROR(RANK(Valor_normalizado!U122,Valor_normalizado!U$98:U$129,0),"NA"))</f>
        <v>32</v>
      </c>
      <c r="V122" s="66">
        <f>IF(Valor_normalizado!V122=0,32,IFERROR(RANK(Valor_normalizado!V122,Valor_normalizado!V$98:V$129,0),"NA"))</f>
        <v>4</v>
      </c>
      <c r="W122" s="66">
        <f>IF(Valor_normalizado!W122=0,32,IFERROR(RANK(Valor_normalizado!W122,Valor_normalizado!W$98:W$129,0),"NA"))</f>
        <v>19</v>
      </c>
      <c r="X122" s="66">
        <f>IF(Valor_normalizado!X122=0,32,IFERROR(RANK(Valor_normalizado!X122,Valor_normalizado!X$98:X$129,0),"NA"))</f>
        <v>26</v>
      </c>
      <c r="Y122" s="66">
        <f>IF(Valor_normalizado!Y122=0,32,IFERROR(RANK(Valor_normalizado!Y122,Valor_normalizado!Y$98:Y$129,0),"NA"))</f>
        <v>21</v>
      </c>
    </row>
    <row r="123" ht="14.25" hidden="1" customHeight="1">
      <c r="A123" s="51" t="s">
        <v>332</v>
      </c>
      <c r="B123" s="23">
        <v>2022.0</v>
      </c>
      <c r="C123" s="66">
        <f>IF(Valor_normalizado!C123=0,32,IFERROR(RANK(Valor_normalizado!C123,Valor_normalizado!C$98:C$129,0),"NA"))</f>
        <v>29</v>
      </c>
      <c r="D123" s="66">
        <f>IF(Valor_normalizado!D123=0,32,IFERROR(RANK(Valor_normalizado!D123,Valor_normalizado!D$98:D$129,0),"NA"))</f>
        <v>24</v>
      </c>
      <c r="E123" s="66">
        <f>IF(Valor_normalizado!E123=0,32,IFERROR(RANK(Valor_normalizado!E123,Valor_normalizado!E$98:E$129,0),"NA"))</f>
        <v>21</v>
      </c>
      <c r="F123" s="66">
        <f>IF(Valor_normalizado!F123=0,32,IFERROR(RANK(Valor_normalizado!F123,Valor_normalizado!F$98:F$129,0),"NA"))</f>
        <v>15</v>
      </c>
      <c r="G123" s="66">
        <f>IF(Valor_normalizado!G123=0,32,IFERROR(RANK(Valor_normalizado!G123,Valor_normalizado!G$98:G$129,0),"NA"))</f>
        <v>27</v>
      </c>
      <c r="H123" s="66">
        <f>IF(Valor_normalizado!H123=0,32,IFERROR(RANK(Valor_normalizado!H123,Valor_normalizado!H$98:H$129,0),"NA"))</f>
        <v>22</v>
      </c>
      <c r="I123" s="66">
        <f>IF(Valor_normalizado!I123=0,32,IFERROR(RANK(Valor_normalizado!I123,Valor_normalizado!I$98:I$129,0),"NA"))</f>
        <v>26</v>
      </c>
      <c r="J123" s="66">
        <f>IF(Valor_normalizado!J123=0,32,IFERROR(RANK(Valor_normalizado!J123,Valor_normalizado!J$98:J$129,0),"NA"))</f>
        <v>16</v>
      </c>
      <c r="K123" s="66">
        <f>IF(Valor_normalizado!K123=0,32,IFERROR(RANK(Valor_normalizado!K123,Valor_normalizado!K$98:K$129,0),"NA"))</f>
        <v>23</v>
      </c>
      <c r="L123" s="66">
        <f>IF(Valor_normalizado!L123=0,32,IFERROR(RANK(Valor_normalizado!L123,Valor_normalizado!L$98:L$129,0),"NA"))</f>
        <v>26</v>
      </c>
      <c r="M123" s="66">
        <f>IF(Valor_normalizado!M123=0,32,IFERROR(RANK(Valor_normalizado!M123,Valor_normalizado!M$98:M$129,0),"NA"))</f>
        <v>32</v>
      </c>
      <c r="N123" s="66">
        <f>IF(Valor_normalizado!N123=0,32,IFERROR(RANK(Valor_normalizado!N123,Valor_normalizado!N$98:N$129,0),"NA"))</f>
        <v>32</v>
      </c>
      <c r="O123" s="66">
        <f>IF(Valor_normalizado!O123=0,32,IFERROR(RANK(Valor_normalizado!O123,Valor_normalizado!O$98:O$129,0),"NA"))</f>
        <v>28</v>
      </c>
      <c r="P123" s="66">
        <f>IF(Valor_normalizado!P123=0,32,IFERROR(RANK(Valor_normalizado!P123,Valor_normalizado!P$98:P$129,0),"NA"))</f>
        <v>32</v>
      </c>
      <c r="Q123" s="66">
        <f>IF(Valor_normalizado!Q123=0,32,IFERROR(RANK(Valor_normalizado!Q123,Valor_normalizado!Q$98:Q$129,0),"NA"))</f>
        <v>32</v>
      </c>
      <c r="R123" s="66">
        <f>IF(Valor_normalizado!R123=0,32,IFERROR(RANK(Valor_normalizado!R123,Valor_normalizado!R$98:R$129,0),"NA"))</f>
        <v>28</v>
      </c>
      <c r="S123" s="66">
        <f>IF(Valor_normalizado!S123=0,32,IFERROR(RANK(Valor_normalizado!S123,Valor_normalizado!S$98:S$129,0),"NA"))</f>
        <v>32</v>
      </c>
      <c r="T123" s="66">
        <f>IF(Valor_normalizado!T123=0,32,IFERROR(RANK(Valor_normalizado!T123,Valor_normalizado!T$98:T$129,0),"NA"))</f>
        <v>32</v>
      </c>
      <c r="U123" s="66">
        <f>IF(Valor_normalizado!U123=0,32,IFERROR(RANK(Valor_normalizado!U123,Valor_normalizado!U$98:U$129,0),"NA"))</f>
        <v>32</v>
      </c>
      <c r="V123" s="66">
        <f>IF(Valor_normalizado!V123=0,32,IFERROR(RANK(Valor_normalizado!V123,Valor_normalizado!V$98:V$129,0),"NA"))</f>
        <v>32</v>
      </c>
      <c r="W123" s="66">
        <f>IF(Valor_normalizado!W123=0,32,IFERROR(RANK(Valor_normalizado!W123,Valor_normalizado!W$98:W$129,0),"NA"))</f>
        <v>32</v>
      </c>
      <c r="X123" s="66">
        <f>IF(Valor_normalizado!X123=0,32,IFERROR(RANK(Valor_normalizado!X123,Valor_normalizado!X$98:X$129,0),"NA"))</f>
        <v>30</v>
      </c>
      <c r="Y123" s="66">
        <f>IF(Valor_normalizado!Y123=0,32,IFERROR(RANK(Valor_normalizado!Y123,Valor_normalizado!Y$98:Y$129,0),"NA"))</f>
        <v>29</v>
      </c>
    </row>
    <row r="124" ht="14.25" hidden="1" customHeight="1">
      <c r="A124" s="49" t="s">
        <v>319</v>
      </c>
      <c r="B124" s="23">
        <v>2022.0</v>
      </c>
      <c r="C124" s="66">
        <f>IF(Valor_normalizado!C124=0,32,IFERROR(RANK(Valor_normalizado!C124,Valor_normalizado!C$98:C$129,0),"NA"))</f>
        <v>15</v>
      </c>
      <c r="D124" s="66">
        <f>IF(Valor_normalizado!D124=0,32,IFERROR(RANK(Valor_normalizado!D124,Valor_normalizado!D$98:D$129,0),"NA"))</f>
        <v>16</v>
      </c>
      <c r="E124" s="66">
        <f>IF(Valor_normalizado!E124=0,32,IFERROR(RANK(Valor_normalizado!E124,Valor_normalizado!E$98:E$129,0),"NA"))</f>
        <v>26</v>
      </c>
      <c r="F124" s="66">
        <f>IF(Valor_normalizado!F124=0,32,IFERROR(RANK(Valor_normalizado!F124,Valor_normalizado!F$98:F$129,0),"NA"))</f>
        <v>25</v>
      </c>
      <c r="G124" s="66">
        <f>IF(Valor_normalizado!G124=0,32,IFERROR(RANK(Valor_normalizado!G124,Valor_normalizado!G$98:G$129,0),"NA"))</f>
        <v>19</v>
      </c>
      <c r="H124" s="66">
        <f>IF(Valor_normalizado!H124=0,32,IFERROR(RANK(Valor_normalizado!H124,Valor_normalizado!H$98:H$129,0),"NA"))</f>
        <v>15</v>
      </c>
      <c r="I124" s="66">
        <f>IF(Valor_normalizado!I124=0,32,IFERROR(RANK(Valor_normalizado!I124,Valor_normalizado!I$98:I$129,0),"NA"))</f>
        <v>21</v>
      </c>
      <c r="J124" s="66">
        <f>IF(Valor_normalizado!J124=0,32,IFERROR(RANK(Valor_normalizado!J124,Valor_normalizado!J$98:J$129,0),"NA"))</f>
        <v>13</v>
      </c>
      <c r="K124" s="66">
        <f>IF(Valor_normalizado!K124=0,32,IFERROR(RANK(Valor_normalizado!K124,Valor_normalizado!K$98:K$129,0),"NA"))</f>
        <v>19</v>
      </c>
      <c r="L124" s="66">
        <f>IF(Valor_normalizado!L124=0,32,IFERROR(RANK(Valor_normalizado!L124,Valor_normalizado!L$98:L$129,0),"NA"))</f>
        <v>19</v>
      </c>
      <c r="M124" s="66">
        <f>IF(Valor_normalizado!M124=0,32,IFERROR(RANK(Valor_normalizado!M124,Valor_normalizado!M$98:M$129,0),"NA"))</f>
        <v>10</v>
      </c>
      <c r="N124" s="66">
        <f>IF(Valor_normalizado!N124=0,32,IFERROR(RANK(Valor_normalizado!N124,Valor_normalizado!N$98:N$129,0),"NA"))</f>
        <v>6</v>
      </c>
      <c r="O124" s="66">
        <f>IF(Valor_normalizado!O124=0,32,IFERROR(RANK(Valor_normalizado!O124,Valor_normalizado!O$98:O$129,0),"NA"))</f>
        <v>18</v>
      </c>
      <c r="P124" s="66">
        <f>IF(Valor_normalizado!P124=0,32,IFERROR(RANK(Valor_normalizado!P124,Valor_normalizado!P$98:P$129,0),"NA"))</f>
        <v>18</v>
      </c>
      <c r="Q124" s="66">
        <f>IF(Valor_normalizado!Q124=0,32,IFERROR(RANK(Valor_normalizado!Q124,Valor_normalizado!Q$98:Q$129,0),"NA"))</f>
        <v>19</v>
      </c>
      <c r="R124" s="66">
        <f>IF(Valor_normalizado!R124=0,32,IFERROR(RANK(Valor_normalizado!R124,Valor_normalizado!R$98:R$129,0),"NA"))</f>
        <v>12</v>
      </c>
      <c r="S124" s="66">
        <f>IF(Valor_normalizado!S124=0,32,IFERROR(RANK(Valor_normalizado!S124,Valor_normalizado!S$98:S$129,0),"NA"))</f>
        <v>20</v>
      </c>
      <c r="T124" s="66">
        <f>IF(Valor_normalizado!T124=0,32,IFERROR(RANK(Valor_normalizado!T124,Valor_normalizado!T$98:T$129,0),"NA"))</f>
        <v>9</v>
      </c>
      <c r="U124" s="66">
        <f>IF(Valor_normalizado!U124=0,32,IFERROR(RANK(Valor_normalizado!U124,Valor_normalizado!U$98:U$129,0),"NA"))</f>
        <v>17</v>
      </c>
      <c r="V124" s="66">
        <f>IF(Valor_normalizado!V124=0,32,IFERROR(RANK(Valor_normalizado!V124,Valor_normalizado!V$98:V$129,0),"NA"))</f>
        <v>15</v>
      </c>
      <c r="W124" s="66">
        <f>IF(Valor_normalizado!W124=0,32,IFERROR(RANK(Valor_normalizado!W124,Valor_normalizado!W$98:W$129,0),"NA"))</f>
        <v>16</v>
      </c>
      <c r="X124" s="66">
        <f>IF(Valor_normalizado!X124=0,32,IFERROR(RANK(Valor_normalizado!X124,Valor_normalizado!X$98:X$129,0),"NA"))</f>
        <v>13</v>
      </c>
      <c r="Y124" s="66">
        <f>IF(Valor_normalizado!Y124=0,32,IFERROR(RANK(Valor_normalizado!Y124,Valor_normalizado!Y$98:Y$129,0),"NA"))</f>
        <v>15</v>
      </c>
    </row>
    <row r="125" ht="14.25" hidden="1" customHeight="1">
      <c r="A125" s="51" t="s">
        <v>323</v>
      </c>
      <c r="B125" s="23">
        <v>2022.0</v>
      </c>
      <c r="C125" s="66">
        <f>IF(Valor_normalizado!C125=0,32,IFERROR(RANK(Valor_normalizado!C125,Valor_normalizado!C$98:C$129,0),"NA"))</f>
        <v>21</v>
      </c>
      <c r="D125" s="66">
        <f>IF(Valor_normalizado!D125=0,32,IFERROR(RANK(Valor_normalizado!D125,Valor_normalizado!D$98:D$129,0),"NA"))</f>
        <v>21</v>
      </c>
      <c r="E125" s="66">
        <f>IF(Valor_normalizado!E125=0,32,IFERROR(RANK(Valor_normalizado!E125,Valor_normalizado!E$98:E$129,0),"NA"))</f>
        <v>25</v>
      </c>
      <c r="F125" s="66">
        <f>IF(Valor_normalizado!F125=0,32,IFERROR(RANK(Valor_normalizado!F125,Valor_normalizado!F$98:F$129,0),"NA"))</f>
        <v>26</v>
      </c>
      <c r="G125" s="66">
        <f>IF(Valor_normalizado!G125=0,32,IFERROR(RANK(Valor_normalizado!G125,Valor_normalizado!G$98:G$129,0),"NA"))</f>
        <v>23</v>
      </c>
      <c r="H125" s="66">
        <f>IF(Valor_normalizado!H125=0,32,IFERROR(RANK(Valor_normalizado!H125,Valor_normalizado!H$98:H$129,0),"NA"))</f>
        <v>24</v>
      </c>
      <c r="I125" s="66">
        <f>IF(Valor_normalizado!I125=0,32,IFERROR(RANK(Valor_normalizado!I125,Valor_normalizado!I$98:I$129,0),"NA"))</f>
        <v>14</v>
      </c>
      <c r="J125" s="66">
        <f>IF(Valor_normalizado!J125=0,32,IFERROR(RANK(Valor_normalizado!J125,Valor_normalizado!J$98:J$129,0),"NA"))</f>
        <v>12</v>
      </c>
      <c r="K125" s="66">
        <f>IF(Valor_normalizado!K125=0,32,IFERROR(RANK(Valor_normalizado!K125,Valor_normalizado!K$98:K$129,0),"NA"))</f>
        <v>17</v>
      </c>
      <c r="L125" s="66">
        <f>IF(Valor_normalizado!L125=0,32,IFERROR(RANK(Valor_normalizado!L125,Valor_normalizado!L$98:L$129,0),"NA"))</f>
        <v>22</v>
      </c>
      <c r="M125" s="66">
        <f>IF(Valor_normalizado!M125=0,32,IFERROR(RANK(Valor_normalizado!M125,Valor_normalizado!M$98:M$129,0),"NA"))</f>
        <v>16</v>
      </c>
      <c r="N125" s="66">
        <f>IF(Valor_normalizado!N125=0,32,IFERROR(RANK(Valor_normalizado!N125,Valor_normalizado!N$98:N$129,0),"NA"))</f>
        <v>32</v>
      </c>
      <c r="O125" s="66">
        <f>IF(Valor_normalizado!O125=0,32,IFERROR(RANK(Valor_normalizado!O125,Valor_normalizado!O$98:O$129,0),"NA"))</f>
        <v>15</v>
      </c>
      <c r="P125" s="66">
        <f>IF(Valor_normalizado!P125=0,32,IFERROR(RANK(Valor_normalizado!P125,Valor_normalizado!P$98:P$129,0),"NA"))</f>
        <v>8</v>
      </c>
      <c r="Q125" s="66">
        <f>IF(Valor_normalizado!Q125=0,32,IFERROR(RANK(Valor_normalizado!Q125,Valor_normalizado!Q$98:Q$129,0),"NA"))</f>
        <v>3</v>
      </c>
      <c r="R125" s="66">
        <f>IF(Valor_normalizado!R125=0,32,IFERROR(RANK(Valor_normalizado!R125,Valor_normalizado!R$98:R$129,0),"NA"))</f>
        <v>11</v>
      </c>
      <c r="S125" s="66">
        <f>IF(Valor_normalizado!S125=0,32,IFERROR(RANK(Valor_normalizado!S125,Valor_normalizado!S$98:S$129,0),"NA"))</f>
        <v>32</v>
      </c>
      <c r="T125" s="66">
        <f>IF(Valor_normalizado!T125=0,32,IFERROR(RANK(Valor_normalizado!T125,Valor_normalizado!T$98:T$129,0),"NA"))</f>
        <v>32</v>
      </c>
      <c r="U125" s="66">
        <f>IF(Valor_normalizado!U125=0,32,IFERROR(RANK(Valor_normalizado!U125,Valor_normalizado!U$98:U$129,0),"NA"))</f>
        <v>32</v>
      </c>
      <c r="V125" s="66">
        <f>IF(Valor_normalizado!V125=0,32,IFERROR(RANK(Valor_normalizado!V125,Valor_normalizado!V$98:V$129,0),"NA"))</f>
        <v>22</v>
      </c>
      <c r="W125" s="66">
        <f>IF(Valor_normalizado!W125=0,32,IFERROR(RANK(Valor_normalizado!W125,Valor_normalizado!W$98:W$129,0),"NA"))</f>
        <v>24</v>
      </c>
      <c r="X125" s="66">
        <f>IF(Valor_normalizado!X125=0,32,IFERROR(RANK(Valor_normalizado!X125,Valor_normalizado!X$98:X$129,0),"NA"))</f>
        <v>19</v>
      </c>
      <c r="Y125" s="66">
        <f>IF(Valor_normalizado!Y125=0,32,IFERROR(RANK(Valor_normalizado!Y125,Valor_normalizado!Y$98:Y$129,0),"NA"))</f>
        <v>19</v>
      </c>
    </row>
    <row r="126" ht="14.25" hidden="1" customHeight="1">
      <c r="A126" s="49" t="s">
        <v>308</v>
      </c>
      <c r="B126" s="23">
        <v>2022.0</v>
      </c>
      <c r="C126" s="66">
        <f>IF(Valor_normalizado!C126=0,32,IFERROR(RANK(Valor_normalizado!C126,Valor_normalizado!C$98:C$129,0),"NA"))</f>
        <v>3</v>
      </c>
      <c r="D126" s="66">
        <f>IF(Valor_normalizado!D126=0,32,IFERROR(RANK(Valor_normalizado!D126,Valor_normalizado!D$98:D$129,0),"NA"))</f>
        <v>6</v>
      </c>
      <c r="E126" s="66">
        <f>IF(Valor_normalizado!E126=0,32,IFERROR(RANK(Valor_normalizado!E126,Valor_normalizado!E$98:E$129,0),"NA"))</f>
        <v>3</v>
      </c>
      <c r="F126" s="66">
        <f>IF(Valor_normalizado!F126=0,32,IFERROR(RANK(Valor_normalizado!F126,Valor_normalizado!F$98:F$129,0),"NA"))</f>
        <v>6</v>
      </c>
      <c r="G126" s="66">
        <f>IF(Valor_normalizado!G126=0,32,IFERROR(RANK(Valor_normalizado!G126,Valor_normalizado!G$98:G$129,0),"NA"))</f>
        <v>2</v>
      </c>
      <c r="H126" s="66">
        <f>IF(Valor_normalizado!H126=0,32,IFERROR(RANK(Valor_normalizado!H126,Valor_normalizado!H$98:H$129,0),"NA"))</f>
        <v>1</v>
      </c>
      <c r="I126" s="66">
        <f>IF(Valor_normalizado!I126=0,32,IFERROR(RANK(Valor_normalizado!I126,Valor_normalizado!I$98:I$129,0),"NA"))</f>
        <v>1</v>
      </c>
      <c r="J126" s="66">
        <f>IF(Valor_normalizado!J126=0,32,IFERROR(RANK(Valor_normalizado!J126,Valor_normalizado!J$98:J$129,0),"NA"))</f>
        <v>1</v>
      </c>
      <c r="K126" s="66">
        <f>IF(Valor_normalizado!K126=0,32,IFERROR(RANK(Valor_normalizado!K126,Valor_normalizado!K$98:K$129,0),"NA"))</f>
        <v>1</v>
      </c>
      <c r="L126" s="66">
        <f>IF(Valor_normalizado!L126=0,32,IFERROR(RANK(Valor_normalizado!L126,Valor_normalizado!L$98:L$129,0),"NA"))</f>
        <v>1</v>
      </c>
      <c r="M126" s="66">
        <f>IF(Valor_normalizado!M126=0,32,IFERROR(RANK(Valor_normalizado!M126,Valor_normalizado!M$98:M$129,0),"NA"))</f>
        <v>1</v>
      </c>
      <c r="N126" s="66">
        <f>IF(Valor_normalizado!N126=0,32,IFERROR(RANK(Valor_normalizado!N126,Valor_normalizado!N$98:N$129,0),"NA"))</f>
        <v>1</v>
      </c>
      <c r="O126" s="66">
        <f>IF(Valor_normalizado!O126=0,32,IFERROR(RANK(Valor_normalizado!O126,Valor_normalizado!O$98:O$129,0),"NA"))</f>
        <v>1</v>
      </c>
      <c r="P126" s="66">
        <f>IF(Valor_normalizado!P126=0,32,IFERROR(RANK(Valor_normalizado!P126,Valor_normalizado!P$98:P$129,0),"NA"))</f>
        <v>16</v>
      </c>
      <c r="Q126" s="66">
        <f>IF(Valor_normalizado!Q126=0,32,IFERROR(RANK(Valor_normalizado!Q126,Valor_normalizado!Q$98:Q$129,0),"NA"))</f>
        <v>21</v>
      </c>
      <c r="R126" s="66">
        <f>IF(Valor_normalizado!R126=0,32,IFERROR(RANK(Valor_normalizado!R126,Valor_normalizado!R$98:R$129,0),"NA"))</f>
        <v>1</v>
      </c>
      <c r="S126" s="66">
        <f>IF(Valor_normalizado!S126=0,32,IFERROR(RANK(Valor_normalizado!S126,Valor_normalizado!S$98:S$129,0),"NA"))</f>
        <v>4</v>
      </c>
      <c r="T126" s="66">
        <f>IF(Valor_normalizado!T126=0,32,IFERROR(RANK(Valor_normalizado!T126,Valor_normalizado!T$98:T$129,0),"NA"))</f>
        <v>12</v>
      </c>
      <c r="U126" s="66">
        <f>IF(Valor_normalizado!U126=0,32,IFERROR(RANK(Valor_normalizado!U126,Valor_normalizado!U$98:U$129,0),"NA"))</f>
        <v>12</v>
      </c>
      <c r="V126" s="66">
        <f>IF(Valor_normalizado!V126=0,32,IFERROR(RANK(Valor_normalizado!V126,Valor_normalizado!V$98:V$129,0),"NA"))</f>
        <v>9</v>
      </c>
      <c r="W126" s="66">
        <f>IF(Valor_normalizado!W126=0,32,IFERROR(RANK(Valor_normalizado!W126,Valor_normalizado!W$98:W$129,0),"NA"))</f>
        <v>8</v>
      </c>
      <c r="X126" s="66">
        <f>IF(Valor_normalizado!X126=0,32,IFERROR(RANK(Valor_normalizado!X126,Valor_normalizado!X$98:X$129,0),"NA"))</f>
        <v>4</v>
      </c>
      <c r="Y126" s="66">
        <f>IF(Valor_normalizado!Y126=0,32,IFERROR(RANK(Valor_normalizado!Y126,Valor_normalizado!Y$98:Y$129,0),"NA"))</f>
        <v>3</v>
      </c>
    </row>
    <row r="127" ht="14.25" hidden="1" customHeight="1">
      <c r="A127" s="51" t="s">
        <v>321</v>
      </c>
      <c r="B127" s="23">
        <v>2022.0</v>
      </c>
      <c r="C127" s="66">
        <f>IF(Valor_normalizado!C127=0,32,IFERROR(RANK(Valor_normalizado!C127,Valor_normalizado!C$98:C$129,0),"NA"))</f>
        <v>19</v>
      </c>
      <c r="D127" s="66">
        <f>IF(Valor_normalizado!D127=0,32,IFERROR(RANK(Valor_normalizado!D127,Valor_normalizado!D$98:D$129,0),"NA"))</f>
        <v>12</v>
      </c>
      <c r="E127" s="66">
        <f>IF(Valor_normalizado!E127=0,32,IFERROR(RANK(Valor_normalizado!E127,Valor_normalizado!E$98:E$129,0),"NA"))</f>
        <v>18</v>
      </c>
      <c r="F127" s="66">
        <f>IF(Valor_normalizado!F127=0,32,IFERROR(RANK(Valor_normalizado!F127,Valor_normalizado!F$98:F$129,0),"NA"))</f>
        <v>23</v>
      </c>
      <c r="G127" s="66">
        <f>IF(Valor_normalizado!G127=0,32,IFERROR(RANK(Valor_normalizado!G127,Valor_normalizado!G$98:G$129,0),"NA"))</f>
        <v>18</v>
      </c>
      <c r="H127" s="66">
        <f>IF(Valor_normalizado!H127=0,32,IFERROR(RANK(Valor_normalizado!H127,Valor_normalizado!H$98:H$129,0),"NA"))</f>
        <v>19</v>
      </c>
      <c r="I127" s="66">
        <f>IF(Valor_normalizado!I127=0,32,IFERROR(RANK(Valor_normalizado!I127,Valor_normalizado!I$98:I$129,0),"NA"))</f>
        <v>19</v>
      </c>
      <c r="J127" s="66">
        <f>IF(Valor_normalizado!J127=0,32,IFERROR(RANK(Valor_normalizado!J127,Valor_normalizado!J$98:J$129,0),"NA"))</f>
        <v>14</v>
      </c>
      <c r="K127" s="66">
        <f>IF(Valor_normalizado!K127=0,32,IFERROR(RANK(Valor_normalizado!K127,Valor_normalizado!K$98:K$129,0),"NA"))</f>
        <v>20</v>
      </c>
      <c r="L127" s="66">
        <f>IF(Valor_normalizado!L127=0,32,IFERROR(RANK(Valor_normalizado!L127,Valor_normalizado!L$98:L$129,0),"NA"))</f>
        <v>18</v>
      </c>
      <c r="M127" s="66">
        <f>IF(Valor_normalizado!M127=0,32,IFERROR(RANK(Valor_normalizado!M127,Valor_normalizado!M$98:M$129,0),"NA"))</f>
        <v>23</v>
      </c>
      <c r="N127" s="66">
        <f>IF(Valor_normalizado!N127=0,32,IFERROR(RANK(Valor_normalizado!N127,Valor_normalizado!N$98:N$129,0),"NA"))</f>
        <v>32</v>
      </c>
      <c r="O127" s="66">
        <f>IF(Valor_normalizado!O127=0,32,IFERROR(RANK(Valor_normalizado!O127,Valor_normalizado!O$98:O$129,0),"NA"))</f>
        <v>24</v>
      </c>
      <c r="P127" s="66">
        <f>IF(Valor_normalizado!P127=0,32,IFERROR(RANK(Valor_normalizado!P127,Valor_normalizado!P$98:P$129,0),"NA"))</f>
        <v>19</v>
      </c>
      <c r="Q127" s="66">
        <f>IF(Valor_normalizado!Q127=0,32,IFERROR(RANK(Valor_normalizado!Q127,Valor_normalizado!Q$98:Q$129,0),"NA"))</f>
        <v>8</v>
      </c>
      <c r="R127" s="66">
        <f>IF(Valor_normalizado!R127=0,32,IFERROR(RANK(Valor_normalizado!R127,Valor_normalizado!R$98:R$129,0),"NA"))</f>
        <v>22</v>
      </c>
      <c r="S127" s="66">
        <f>IF(Valor_normalizado!S127=0,32,IFERROR(RANK(Valor_normalizado!S127,Valor_normalizado!S$98:S$129,0),"NA"))</f>
        <v>19</v>
      </c>
      <c r="T127" s="66">
        <f>IF(Valor_normalizado!T127=0,32,IFERROR(RANK(Valor_normalizado!T127,Valor_normalizado!T$98:T$129,0),"NA"))</f>
        <v>32</v>
      </c>
      <c r="U127" s="66">
        <f>IF(Valor_normalizado!U127=0,32,IFERROR(RANK(Valor_normalizado!U127,Valor_normalizado!U$98:U$129,0),"NA"))</f>
        <v>32</v>
      </c>
      <c r="V127" s="66">
        <f>IF(Valor_normalizado!V127=0,32,IFERROR(RANK(Valor_normalizado!V127,Valor_normalizado!V$98:V$129,0),"NA"))</f>
        <v>26</v>
      </c>
      <c r="W127" s="66">
        <f>IF(Valor_normalizado!W127=0,32,IFERROR(RANK(Valor_normalizado!W127,Valor_normalizado!W$98:W$129,0),"NA"))</f>
        <v>23</v>
      </c>
      <c r="X127" s="66">
        <f>IF(Valor_normalizado!X127=0,32,IFERROR(RANK(Valor_normalizado!X127,Valor_normalizado!X$98:X$129,0),"NA"))</f>
        <v>23</v>
      </c>
      <c r="Y127" s="66">
        <f>IF(Valor_normalizado!Y127=0,32,IFERROR(RANK(Valor_normalizado!Y127,Valor_normalizado!Y$98:Y$129,0),"NA"))</f>
        <v>23</v>
      </c>
    </row>
    <row r="128" ht="14.25" hidden="1" customHeight="1">
      <c r="A128" s="49" t="s">
        <v>317</v>
      </c>
      <c r="B128" s="23">
        <v>2022.0</v>
      </c>
      <c r="C128" s="66">
        <f>IF(Valor_normalizado!C128=0,32,IFERROR(RANK(Valor_normalizado!C128,Valor_normalizado!C$98:C$129,0),"NA"))</f>
        <v>13</v>
      </c>
      <c r="D128" s="66">
        <f>IF(Valor_normalizado!D128=0,32,IFERROR(RANK(Valor_normalizado!D128,Valor_normalizado!D$98:D$129,0),"NA"))</f>
        <v>2</v>
      </c>
      <c r="E128" s="66">
        <f>IF(Valor_normalizado!E128=0,32,IFERROR(RANK(Valor_normalizado!E128,Valor_normalizado!E$98:E$129,0),"NA"))</f>
        <v>15</v>
      </c>
      <c r="F128" s="66">
        <f>IF(Valor_normalizado!F128=0,32,IFERROR(RANK(Valor_normalizado!F128,Valor_normalizado!F$98:F$129,0),"NA"))</f>
        <v>5</v>
      </c>
      <c r="G128" s="66">
        <f>IF(Valor_normalizado!G128=0,32,IFERROR(RANK(Valor_normalizado!G128,Valor_normalizado!G$98:G$129,0),"NA"))</f>
        <v>11</v>
      </c>
      <c r="H128" s="66">
        <f>IF(Valor_normalizado!H128=0,32,IFERROR(RANK(Valor_normalizado!H128,Valor_normalizado!H$98:H$129,0),"NA"))</f>
        <v>25</v>
      </c>
      <c r="I128" s="66">
        <f>IF(Valor_normalizado!I128=0,32,IFERROR(RANK(Valor_normalizado!I128,Valor_normalizado!I$98:I$129,0),"NA"))</f>
        <v>23</v>
      </c>
      <c r="J128" s="66">
        <f>IF(Valor_normalizado!J128=0,32,IFERROR(RANK(Valor_normalizado!J128,Valor_normalizado!J$98:J$129,0),"NA"))</f>
        <v>19</v>
      </c>
      <c r="K128" s="66">
        <f>IF(Valor_normalizado!K128=0,32,IFERROR(RANK(Valor_normalizado!K128,Valor_normalizado!K$98:K$129,0),"NA"))</f>
        <v>24</v>
      </c>
      <c r="L128" s="66">
        <f>IF(Valor_normalizado!L128=0,32,IFERROR(RANK(Valor_normalizado!L128,Valor_normalizado!L$98:L$129,0),"NA"))</f>
        <v>14</v>
      </c>
      <c r="M128" s="66">
        <f>IF(Valor_normalizado!M128=0,32,IFERROR(RANK(Valor_normalizado!M128,Valor_normalizado!M$98:M$129,0),"NA"))</f>
        <v>25</v>
      </c>
      <c r="N128" s="66">
        <f>IF(Valor_normalizado!N128=0,32,IFERROR(RANK(Valor_normalizado!N128,Valor_normalizado!N$98:N$129,0),"NA"))</f>
        <v>32</v>
      </c>
      <c r="O128" s="66">
        <f>IF(Valor_normalizado!O128=0,32,IFERROR(RANK(Valor_normalizado!O128,Valor_normalizado!O$98:O$129,0),"NA"))</f>
        <v>23</v>
      </c>
      <c r="P128" s="66">
        <f>IF(Valor_normalizado!P128=0,32,IFERROR(RANK(Valor_normalizado!P128,Valor_normalizado!P$98:P$129,0),"NA"))</f>
        <v>19</v>
      </c>
      <c r="Q128" s="66">
        <f>IF(Valor_normalizado!Q128=0,32,IFERROR(RANK(Valor_normalizado!Q128,Valor_normalizado!Q$98:Q$129,0),"NA"))</f>
        <v>22</v>
      </c>
      <c r="R128" s="66">
        <f>IF(Valor_normalizado!R128=0,32,IFERROR(RANK(Valor_normalizado!R128,Valor_normalizado!R$98:R$129,0),"NA"))</f>
        <v>23</v>
      </c>
      <c r="S128" s="66">
        <f>IF(Valor_normalizado!S128=0,32,IFERROR(RANK(Valor_normalizado!S128,Valor_normalizado!S$98:S$129,0),"NA"))</f>
        <v>15</v>
      </c>
      <c r="T128" s="66">
        <f>IF(Valor_normalizado!T128=0,32,IFERROR(RANK(Valor_normalizado!T128,Valor_normalizado!T$98:T$129,0),"NA"))</f>
        <v>16</v>
      </c>
      <c r="U128" s="66">
        <f>IF(Valor_normalizado!U128=0,32,IFERROR(RANK(Valor_normalizado!U128,Valor_normalizado!U$98:U$129,0),"NA"))</f>
        <v>16</v>
      </c>
      <c r="V128" s="66">
        <f>IF(Valor_normalizado!V128=0,32,IFERROR(RANK(Valor_normalizado!V128,Valor_normalizado!V$98:V$129,0),"NA"))</f>
        <v>18</v>
      </c>
      <c r="W128" s="66">
        <f>IF(Valor_normalizado!W128=0,32,IFERROR(RANK(Valor_normalizado!W128,Valor_normalizado!W$98:W$129,0),"NA"))</f>
        <v>18</v>
      </c>
      <c r="X128" s="66">
        <f>IF(Valor_normalizado!X128=0,32,IFERROR(RANK(Valor_normalizado!X128,Valor_normalizado!X$98:X$129,0),"NA"))</f>
        <v>21</v>
      </c>
      <c r="Y128" s="66">
        <f>IF(Valor_normalizado!Y128=0,32,IFERROR(RANK(Valor_normalizado!Y128,Valor_normalizado!Y$98:Y$129,0),"NA"))</f>
        <v>16</v>
      </c>
    </row>
    <row r="129" ht="14.25" hidden="1" customHeight="1">
      <c r="A129" s="51" t="s">
        <v>322</v>
      </c>
      <c r="B129" s="23">
        <v>2022.0</v>
      </c>
      <c r="C129" s="66">
        <f>IF(Valor_normalizado!C129=0,32,IFERROR(RANK(Valor_normalizado!C129,Valor_normalizado!C$98:C$129,0),"NA"))</f>
        <v>12</v>
      </c>
      <c r="D129" s="66">
        <f>IF(Valor_normalizado!D129=0,32,IFERROR(RANK(Valor_normalizado!D129,Valor_normalizado!D$98:D$129,0),"NA"))</f>
        <v>22</v>
      </c>
      <c r="E129" s="66">
        <f>IF(Valor_normalizado!E129=0,32,IFERROR(RANK(Valor_normalizado!E129,Valor_normalizado!E$98:E$129,0),"NA"))</f>
        <v>16</v>
      </c>
      <c r="F129" s="66">
        <f>IF(Valor_normalizado!F129=0,32,IFERROR(RANK(Valor_normalizado!F129,Valor_normalizado!F$98:F$129,0),"NA"))</f>
        <v>18</v>
      </c>
      <c r="G129" s="66">
        <f>IF(Valor_normalizado!G129=0,32,IFERROR(RANK(Valor_normalizado!G129,Valor_normalizado!G$98:G$129,0),"NA"))</f>
        <v>15</v>
      </c>
      <c r="H129" s="66">
        <f>IF(Valor_normalizado!H129=0,32,IFERROR(RANK(Valor_normalizado!H129,Valor_normalizado!H$98:H$129,0),"NA"))</f>
        <v>20</v>
      </c>
      <c r="I129" s="66">
        <f>IF(Valor_normalizado!I129=0,32,IFERROR(RANK(Valor_normalizado!I129,Valor_normalizado!I$98:I$129,0),"NA"))</f>
        <v>20</v>
      </c>
      <c r="J129" s="66">
        <f>IF(Valor_normalizado!J129=0,32,IFERROR(RANK(Valor_normalizado!J129,Valor_normalizado!J$98:J$129,0),"NA"))</f>
        <v>27</v>
      </c>
      <c r="K129" s="66">
        <f>IF(Valor_normalizado!K129=0,32,IFERROR(RANK(Valor_normalizado!K129,Valor_normalizado!K$98:K$129,0),"NA"))</f>
        <v>25</v>
      </c>
      <c r="L129" s="66">
        <f>IF(Valor_normalizado!L129=0,32,IFERROR(RANK(Valor_normalizado!L129,Valor_normalizado!L$98:L$129,0),"NA"))</f>
        <v>17</v>
      </c>
      <c r="M129" s="66">
        <f>IF(Valor_normalizado!M129=0,32,IFERROR(RANK(Valor_normalizado!M129,Valor_normalizado!M$98:M$129,0),"NA"))</f>
        <v>26</v>
      </c>
      <c r="N129" s="66">
        <f>IF(Valor_normalizado!N129=0,32,IFERROR(RANK(Valor_normalizado!N129,Valor_normalizado!N$98:N$129,0),"NA"))</f>
        <v>32</v>
      </c>
      <c r="O129" s="66">
        <f>IF(Valor_normalizado!O129=0,32,IFERROR(RANK(Valor_normalizado!O129,Valor_normalizado!O$98:O$129,0),"NA"))</f>
        <v>25</v>
      </c>
      <c r="P129" s="66">
        <f>IF(Valor_normalizado!P129=0,32,IFERROR(RANK(Valor_normalizado!P129,Valor_normalizado!P$98:P$129,0),"NA"))</f>
        <v>32</v>
      </c>
      <c r="Q129" s="66">
        <f>IF(Valor_normalizado!Q129=0,32,IFERROR(RANK(Valor_normalizado!Q129,Valor_normalizado!Q$98:Q$129,0),"NA"))</f>
        <v>32</v>
      </c>
      <c r="R129" s="66">
        <f>IF(Valor_normalizado!R129=0,32,IFERROR(RANK(Valor_normalizado!R129,Valor_normalizado!R$98:R$129,0),"NA"))</f>
        <v>26</v>
      </c>
      <c r="S129" s="66">
        <f>IF(Valor_normalizado!S129=0,32,IFERROR(RANK(Valor_normalizado!S129,Valor_normalizado!S$98:S$129,0),"NA"))</f>
        <v>32</v>
      </c>
      <c r="T129" s="66">
        <f>IF(Valor_normalizado!T129=0,32,IFERROR(RANK(Valor_normalizado!T129,Valor_normalizado!T$98:T$129,0),"NA"))</f>
        <v>13</v>
      </c>
      <c r="U129" s="66">
        <f>IF(Valor_normalizado!U129=0,32,IFERROR(RANK(Valor_normalizado!U129,Valor_normalizado!U$98:U$129,0),"NA"))</f>
        <v>9</v>
      </c>
      <c r="V129" s="66">
        <f>IF(Valor_normalizado!V129=0,32,IFERROR(RANK(Valor_normalizado!V129,Valor_normalizado!V$98:V$129,0),"NA"))</f>
        <v>19</v>
      </c>
      <c r="W129" s="66">
        <f>IF(Valor_normalizado!W129=0,32,IFERROR(RANK(Valor_normalizado!W129,Valor_normalizado!W$98:W$129,0),"NA"))</f>
        <v>15</v>
      </c>
      <c r="X129" s="66">
        <f>IF(Valor_normalizado!X129=0,32,IFERROR(RANK(Valor_normalizado!X129,Valor_normalizado!X$98:X$129,0),"NA"))</f>
        <v>25</v>
      </c>
      <c r="Y129" s="66">
        <f>IF(Valor_normalizado!Y129=0,32,IFERROR(RANK(Valor_normalizado!Y129,Valor_normalizado!Y$98:Y$129,0),"NA"))</f>
        <v>20</v>
      </c>
    </row>
    <row r="130" ht="14.25" hidden="1" customHeight="1">
      <c r="A130" s="51" t="s">
        <v>305</v>
      </c>
      <c r="B130" s="23">
        <v>2023.0</v>
      </c>
      <c r="C130" s="66">
        <f>IF(Valor_normalizado!C133=0,32,IFERROR(RANK(Valor_normalizado!C133,Valor_normalizado!C$130:C$161,0),"NA"))</f>
        <v>4</v>
      </c>
      <c r="D130" s="66">
        <f>IF(Valor_normalizado!D133=0,32,IFERROR(RANK(Valor_normalizado!D133,Valor_normalizado!D$130:D$161,0),"NA"))</f>
        <v>11</v>
      </c>
      <c r="E130" s="66">
        <f>IF(Valor_normalizado!E133=0,32,IFERROR(RANK(Valor_normalizado!E133,Valor_normalizado!E$130:E$161,0),"NA"))</f>
        <v>10</v>
      </c>
      <c r="F130" s="66">
        <f>IF(Valor_normalizado!F133=0,32,IFERROR(RANK(Valor_normalizado!F133,Valor_normalizado!F$130:F$161,0),"NA"))</f>
        <v>13</v>
      </c>
      <c r="G130" s="66">
        <f>IF(Valor_normalizado!G133=0,32,IFERROR(RANK(Valor_normalizado!G133,Valor_normalizado!G$130:G$161,0),"NA"))</f>
        <v>9</v>
      </c>
      <c r="H130" s="66">
        <f>IF(Valor_normalizado!H133=0,32,IFERROR(RANK(Valor_normalizado!H133,Valor_normalizado!H$130:H$161,0),"NA"))</f>
        <v>1</v>
      </c>
      <c r="I130" s="66">
        <f>IF(Valor_normalizado!I133=0,32,IFERROR(RANK(Valor_normalizado!I133,Valor_normalizado!I$130:I$161,0),"NA"))</f>
        <v>1</v>
      </c>
      <c r="J130" s="66">
        <f>IF(Valor_normalizado!J133=0,32,IFERROR(RANK(Valor_normalizado!J133,Valor_normalizado!J$130:J$161,0),"NA"))</f>
        <v>1</v>
      </c>
      <c r="K130" s="66">
        <f>IF(Valor_normalizado!K133=0,32,IFERROR(RANK(Valor_normalizado!K133,Valor_normalizado!K$130:K$161,0),"NA"))</f>
        <v>1</v>
      </c>
      <c r="L130" s="66">
        <f>IF(Valor_normalizado!L133=0,32,IFERROR(RANK(Valor_normalizado!L133,Valor_normalizado!L$130:L$161,0),"NA"))</f>
        <v>2</v>
      </c>
      <c r="M130" s="66">
        <f>IF(Valor_normalizado!M133=0,32,IFERROR(RANK(Valor_normalizado!M133,Valor_normalizado!M$130:M$161,0),"NA"))</f>
        <v>1</v>
      </c>
      <c r="N130" s="66">
        <f>IF(Valor_normalizado!N133=0,32,IFERROR(RANK(Valor_normalizado!N133,Valor_normalizado!N$130:N$161,0),"NA"))</f>
        <v>1</v>
      </c>
      <c r="O130" s="66">
        <f>IF(Valor_normalizado!O133=0,32,IFERROR(RANK(Valor_normalizado!O133,Valor_normalizado!O$130:O$161,0),"NA"))</f>
        <v>1</v>
      </c>
      <c r="P130" s="66">
        <f>IF(Valor_normalizado!P133=0,32,IFERROR(RANK(Valor_normalizado!P133,Valor_normalizado!P$130:P$161,0),"NA"))</f>
        <v>12</v>
      </c>
      <c r="Q130" s="66">
        <f>IF(Valor_normalizado!Q133=0,32,IFERROR(RANK(Valor_normalizado!Q133,Valor_normalizado!Q$130:Q$161,0),"NA"))</f>
        <v>14</v>
      </c>
      <c r="R130" s="66">
        <f>IF(Valor_normalizado!R133=0,32,IFERROR(RANK(Valor_normalizado!R133,Valor_normalizado!R$130:R$161,0),"NA"))</f>
        <v>1</v>
      </c>
      <c r="S130" s="66">
        <f>IF(Valor_normalizado!S133=0,32,IFERROR(RANK(Valor_normalizado!S133,Valor_normalizado!S$130:S$161,0),"NA"))</f>
        <v>9</v>
      </c>
      <c r="T130" s="66">
        <f>IF(Valor_normalizado!T133=0,32,IFERROR(RANK(Valor_normalizado!T133,Valor_normalizado!T$130:T$161,0),"NA"))</f>
        <v>7</v>
      </c>
      <c r="U130" s="66">
        <f>IF(Valor_normalizado!U133=0,32,IFERROR(RANK(Valor_normalizado!U133,Valor_normalizado!U$130:U$161,0),"NA"))</f>
        <v>13</v>
      </c>
      <c r="V130" s="66">
        <f>IF(Valor_normalizado!V133=0,32,IFERROR(RANK(Valor_normalizado!V133,Valor_normalizado!V$130:V$161,0),"NA"))</f>
        <v>8</v>
      </c>
      <c r="W130" s="66">
        <f>IF(Valor_normalizado!W133=0,32,IFERROR(RANK(Valor_normalizado!W133,Valor_normalizado!W$130:W$161,0),"NA"))</f>
        <v>10</v>
      </c>
      <c r="X130" s="66">
        <f>IF(Valor_normalizado!X133=0,32,IFERROR(RANK(Valor_normalizado!X133,Valor_normalizado!X$130:X$161,0),"NA"))</f>
        <v>4</v>
      </c>
      <c r="Y130" s="66">
        <f>IF(Valor_normalizado!Y133=0,32,IFERROR(RANK(Valor_normalizado!Y133,Valor_normalizado!Y$130:Y$161,0),"NA"))</f>
        <v>3</v>
      </c>
    </row>
    <row r="131" ht="14.25" hidden="1" customHeight="1">
      <c r="A131" s="49" t="s">
        <v>308</v>
      </c>
      <c r="B131" s="23">
        <v>2023.0</v>
      </c>
      <c r="C131" s="66">
        <f>IF(Valor_normalizado!C158=0,32,IFERROR(RANK(Valor_normalizado!C158,Valor_normalizado!C$130:C$161,0),"NA"))</f>
        <v>26</v>
      </c>
      <c r="D131" s="66">
        <f>IF(Valor_normalizado!D158=0,32,IFERROR(RANK(Valor_normalizado!D158,Valor_normalizado!D$130:D$161,0),"NA"))</f>
        <v>27</v>
      </c>
      <c r="E131" s="66">
        <f>IF(Valor_normalizado!E158=0,32,IFERROR(RANK(Valor_normalizado!E158,Valor_normalizado!E$130:E$161,0),"NA"))</f>
        <v>31</v>
      </c>
      <c r="F131" s="66">
        <f>IF(Valor_normalizado!F158=0,32,IFERROR(RANK(Valor_normalizado!F158,Valor_normalizado!F$130:F$161,0),"NA"))</f>
        <v>22</v>
      </c>
      <c r="G131" s="66">
        <f>IF(Valor_normalizado!G158=0,32,IFERROR(RANK(Valor_normalizado!G158,Valor_normalizado!G$130:G$161,0),"NA"))</f>
        <v>26</v>
      </c>
      <c r="H131" s="66">
        <f>IF(Valor_normalizado!H158=0,32,IFERROR(RANK(Valor_normalizado!H158,Valor_normalizado!H$130:H$161,0),"NA"))</f>
        <v>30</v>
      </c>
      <c r="I131" s="66">
        <f>IF(Valor_normalizado!I158=0,32,IFERROR(RANK(Valor_normalizado!I158,Valor_normalizado!I$130:I$161,0),"NA"))</f>
        <v>30</v>
      </c>
      <c r="J131" s="66">
        <f>IF(Valor_normalizado!J158=0,32,IFERROR(RANK(Valor_normalizado!J158,Valor_normalizado!J$130:J$161,0),"NA"))</f>
        <v>29</v>
      </c>
      <c r="K131" s="66">
        <f>IF(Valor_normalizado!K158=0,32,IFERROR(RANK(Valor_normalizado!K158,Valor_normalizado!K$130:K$161,0),"NA"))</f>
        <v>31</v>
      </c>
      <c r="L131" s="66">
        <f>IF(Valor_normalizado!L158=0,32,IFERROR(RANK(Valor_normalizado!L158,Valor_normalizado!L$130:L$161,0),"NA"))</f>
        <v>29</v>
      </c>
      <c r="M131" s="66">
        <f>IF(Valor_normalizado!M158=0,32,IFERROR(RANK(Valor_normalizado!M158,Valor_normalizado!M$130:M$161,0),"NA"))</f>
        <v>32</v>
      </c>
      <c r="N131" s="66">
        <f>IF(Valor_normalizado!N158=0,32,IFERROR(RANK(Valor_normalizado!N158,Valor_normalizado!N$130:N$161,0),"NA"))</f>
        <v>32</v>
      </c>
      <c r="O131" s="66">
        <f>IF(Valor_normalizado!O158=0,32,IFERROR(RANK(Valor_normalizado!O158,Valor_normalizado!O$130:O$161,0),"NA"))</f>
        <v>27</v>
      </c>
      <c r="P131" s="66">
        <f>IF(Valor_normalizado!P158=0,32,IFERROR(RANK(Valor_normalizado!P158,Valor_normalizado!P$130:P$161,0),"NA"))</f>
        <v>32</v>
      </c>
      <c r="Q131" s="66">
        <f>IF(Valor_normalizado!Q158=0,32,IFERROR(RANK(Valor_normalizado!Q158,Valor_normalizado!Q$130:Q$161,0),"NA"))</f>
        <v>32</v>
      </c>
      <c r="R131" s="66">
        <f>IF(Valor_normalizado!R158=0,32,IFERROR(RANK(Valor_normalizado!R158,Valor_normalizado!R$130:R$161,0),"NA"))</f>
        <v>28</v>
      </c>
      <c r="S131" s="66">
        <f>IF(Valor_normalizado!S158=0,32,IFERROR(RANK(Valor_normalizado!S158,Valor_normalizado!S$130:S$161,0),"NA"))</f>
        <v>32</v>
      </c>
      <c r="T131" s="66">
        <f>IF(Valor_normalizado!T158=0,32,IFERROR(RANK(Valor_normalizado!T158,Valor_normalizado!T$130:T$161,0),"NA"))</f>
        <v>32</v>
      </c>
      <c r="U131" s="66">
        <f>IF(Valor_normalizado!U158=0,32,IFERROR(RANK(Valor_normalizado!U158,Valor_normalizado!U$130:U$161,0),"NA"))</f>
        <v>32</v>
      </c>
      <c r="V131" s="66">
        <f>IF(Valor_normalizado!V158=0,32,IFERROR(RANK(Valor_normalizado!V158,Valor_normalizado!V$130:V$161,0),"NA"))</f>
        <v>28</v>
      </c>
      <c r="W131" s="66">
        <f>IF(Valor_normalizado!W158=0,32,IFERROR(RANK(Valor_normalizado!W158,Valor_normalizado!W$130:W$161,0),"NA"))</f>
        <v>29</v>
      </c>
      <c r="X131" s="66">
        <f>IF(Valor_normalizado!X158=0,32,IFERROR(RANK(Valor_normalizado!X158,Valor_normalizado!X$130:X$161,0),"NA"))</f>
        <v>29</v>
      </c>
      <c r="Y131" s="66">
        <f>IF(Valor_normalizado!Y158=0,32,IFERROR(RANK(Valor_normalizado!Y158,Valor_normalizado!Y$130:Y$161,0),"NA"))</f>
        <v>26</v>
      </c>
    </row>
    <row r="132" ht="14.25" hidden="1" customHeight="1">
      <c r="A132" s="49" t="s">
        <v>315</v>
      </c>
      <c r="B132" s="23">
        <v>2023.0</v>
      </c>
      <c r="C132" s="66">
        <f>IF(Valor_normalizado!C142=0,32,IFERROR(RANK(Valor_normalizado!C142,Valor_normalizado!C$130:C$161,0),"NA"))</f>
        <v>16</v>
      </c>
      <c r="D132" s="66">
        <f>IF(Valor_normalizado!D142=0,32,IFERROR(RANK(Valor_normalizado!D142,Valor_normalizado!D$130:D$161,0),"NA"))</f>
        <v>14</v>
      </c>
      <c r="E132" s="66">
        <f>IF(Valor_normalizado!E142=0,32,IFERROR(RANK(Valor_normalizado!E142,Valor_normalizado!E$130:E$161,0),"NA"))</f>
        <v>27</v>
      </c>
      <c r="F132" s="66">
        <f>IF(Valor_normalizado!F142=0,32,IFERROR(RANK(Valor_normalizado!F142,Valor_normalizado!F$130:F$161,0),"NA"))</f>
        <v>24</v>
      </c>
      <c r="G132" s="66">
        <f>IF(Valor_normalizado!G142=0,32,IFERROR(RANK(Valor_normalizado!G142,Valor_normalizado!G$130:G$161,0),"NA"))</f>
        <v>20</v>
      </c>
      <c r="H132" s="66">
        <f>IF(Valor_normalizado!H142=0,32,IFERROR(RANK(Valor_normalizado!H142,Valor_normalizado!H$130:H$161,0),"NA"))</f>
        <v>20</v>
      </c>
      <c r="I132" s="66">
        <f>IF(Valor_normalizado!I142=0,32,IFERROR(RANK(Valor_normalizado!I142,Valor_normalizado!I$130:I$161,0),"NA"))</f>
        <v>19</v>
      </c>
      <c r="J132" s="66">
        <f>IF(Valor_normalizado!J142=0,32,IFERROR(RANK(Valor_normalizado!J142,Valor_normalizado!J$130:J$161,0),"NA"))</f>
        <v>13</v>
      </c>
      <c r="K132" s="66">
        <f>IF(Valor_normalizado!K142=0,32,IFERROR(RANK(Valor_normalizado!K142,Valor_normalizado!K$130:K$161,0),"NA"))</f>
        <v>18</v>
      </c>
      <c r="L132" s="66">
        <f>IF(Valor_normalizado!L142=0,32,IFERROR(RANK(Valor_normalizado!L142,Valor_normalizado!L$130:L$161,0),"NA"))</f>
        <v>17</v>
      </c>
      <c r="M132" s="66">
        <f>IF(Valor_normalizado!M142=0,32,IFERROR(RANK(Valor_normalizado!M142,Valor_normalizado!M$130:M$161,0),"NA"))</f>
        <v>10</v>
      </c>
      <c r="N132" s="66">
        <f>IF(Valor_normalizado!N142=0,32,IFERROR(RANK(Valor_normalizado!N142,Valor_normalizado!N$130:N$161,0),"NA"))</f>
        <v>6</v>
      </c>
      <c r="O132" s="66">
        <f>IF(Valor_normalizado!O142=0,32,IFERROR(RANK(Valor_normalizado!O142,Valor_normalizado!O$130:O$161,0),"NA"))</f>
        <v>18</v>
      </c>
      <c r="P132" s="66">
        <f>IF(Valor_normalizado!P142=0,32,IFERROR(RANK(Valor_normalizado!P142,Valor_normalizado!P$130:P$161,0),"NA"))</f>
        <v>16</v>
      </c>
      <c r="Q132" s="66">
        <f>IF(Valor_normalizado!Q142=0,32,IFERROR(RANK(Valor_normalizado!Q142,Valor_normalizado!Q$130:Q$161,0),"NA"))</f>
        <v>16</v>
      </c>
      <c r="R132" s="66">
        <f>IF(Valor_normalizado!R142=0,32,IFERROR(RANK(Valor_normalizado!R142,Valor_normalizado!R$130:R$161,0),"NA"))</f>
        <v>10</v>
      </c>
      <c r="S132" s="66">
        <f>IF(Valor_normalizado!S142=0,32,IFERROR(RANK(Valor_normalizado!S142,Valor_normalizado!S$130:S$161,0),"NA"))</f>
        <v>32</v>
      </c>
      <c r="T132" s="66">
        <f>IF(Valor_normalizado!T142=0,32,IFERROR(RANK(Valor_normalizado!T142,Valor_normalizado!T$130:T$161,0),"NA"))</f>
        <v>15</v>
      </c>
      <c r="U132" s="66">
        <f>IF(Valor_normalizado!U142=0,32,IFERROR(RANK(Valor_normalizado!U142,Valor_normalizado!U$130:U$161,0),"NA"))</f>
        <v>19</v>
      </c>
      <c r="V132" s="66">
        <f>IF(Valor_normalizado!V142=0,32,IFERROR(RANK(Valor_normalizado!V142,Valor_normalizado!V$130:V$161,0),"NA"))</f>
        <v>15</v>
      </c>
      <c r="W132" s="66">
        <f>IF(Valor_normalizado!W142=0,32,IFERROR(RANK(Valor_normalizado!W142,Valor_normalizado!W$130:W$161,0),"NA"))</f>
        <v>20</v>
      </c>
      <c r="X132" s="66">
        <f>IF(Valor_normalizado!X142=0,32,IFERROR(RANK(Valor_normalizado!X142,Valor_normalizado!X$130:X$161,0),"NA"))</f>
        <v>13</v>
      </c>
      <c r="Y132" s="66">
        <f>IF(Valor_normalizado!Y142=0,32,IFERROR(RANK(Valor_normalizado!Y142,Valor_normalizado!Y$130:Y$161,0),"NA"))</f>
        <v>15</v>
      </c>
    </row>
    <row r="133" ht="14.25" hidden="1" customHeight="1">
      <c r="A133" s="51" t="s">
        <v>307</v>
      </c>
      <c r="B133" s="23">
        <v>2023.0</v>
      </c>
      <c r="C133" s="66">
        <f>IF(Valor_normalizado!C143=0,32,IFERROR(RANK(Valor_normalizado!C143,Valor_normalizado!C$130:C$161,0),"NA"))</f>
        <v>17</v>
      </c>
      <c r="D133" s="66">
        <f>IF(Valor_normalizado!D143=0,32,IFERROR(RANK(Valor_normalizado!D143,Valor_normalizado!D$130:D$161,0),"NA"))</f>
        <v>9</v>
      </c>
      <c r="E133" s="66">
        <f>IF(Valor_normalizado!E143=0,32,IFERROR(RANK(Valor_normalizado!E143,Valor_normalizado!E$130:E$161,0),"NA"))</f>
        <v>20</v>
      </c>
      <c r="F133" s="66">
        <f>IF(Valor_normalizado!F143=0,32,IFERROR(RANK(Valor_normalizado!F143,Valor_normalizado!F$130:F$161,0),"NA"))</f>
        <v>18</v>
      </c>
      <c r="G133" s="66">
        <f>IF(Valor_normalizado!G143=0,32,IFERROR(RANK(Valor_normalizado!G143,Valor_normalizado!G$130:G$161,0),"NA"))</f>
        <v>15</v>
      </c>
      <c r="H133" s="66">
        <f>IF(Valor_normalizado!H143=0,32,IFERROR(RANK(Valor_normalizado!H143,Valor_normalizado!H$130:H$161,0),"NA"))</f>
        <v>19</v>
      </c>
      <c r="I133" s="66">
        <f>IF(Valor_normalizado!I143=0,32,IFERROR(RANK(Valor_normalizado!I143,Valor_normalizado!I$130:I$161,0),"NA"))</f>
        <v>14</v>
      </c>
      <c r="J133" s="66">
        <f>IF(Valor_normalizado!J143=0,32,IFERROR(RANK(Valor_normalizado!J143,Valor_normalizado!J$130:J$161,0),"NA"))</f>
        <v>15</v>
      </c>
      <c r="K133" s="66">
        <f>IF(Valor_normalizado!K143=0,32,IFERROR(RANK(Valor_normalizado!K143,Valor_normalizado!K$130:K$161,0),"NA"))</f>
        <v>15</v>
      </c>
      <c r="L133" s="66">
        <f>IF(Valor_normalizado!L143=0,32,IFERROR(RANK(Valor_normalizado!L143,Valor_normalizado!L$130:L$161,0),"NA"))</f>
        <v>15</v>
      </c>
      <c r="M133" s="66">
        <f>IF(Valor_normalizado!M143=0,32,IFERROR(RANK(Valor_normalizado!M143,Valor_normalizado!M$130:M$161,0),"NA"))</f>
        <v>13</v>
      </c>
      <c r="N133" s="66">
        <f>IF(Valor_normalizado!N143=0,32,IFERROR(RANK(Valor_normalizado!N143,Valor_normalizado!N$130:N$161,0),"NA"))</f>
        <v>13</v>
      </c>
      <c r="O133" s="66">
        <f>IF(Valor_normalizado!O143=0,32,IFERROR(RANK(Valor_normalizado!O143,Valor_normalizado!O$130:O$161,0),"NA"))</f>
        <v>14</v>
      </c>
      <c r="P133" s="66">
        <f>IF(Valor_normalizado!P143=0,32,IFERROR(RANK(Valor_normalizado!P143,Valor_normalizado!P$130:P$161,0),"NA"))</f>
        <v>32</v>
      </c>
      <c r="Q133" s="66">
        <f>IF(Valor_normalizado!Q143=0,32,IFERROR(RANK(Valor_normalizado!Q143,Valor_normalizado!Q$130:Q$161,0),"NA"))</f>
        <v>2</v>
      </c>
      <c r="R133" s="66">
        <f>IF(Valor_normalizado!R143=0,32,IFERROR(RANK(Valor_normalizado!R143,Valor_normalizado!R$130:R$161,0),"NA"))</f>
        <v>16</v>
      </c>
      <c r="S133" s="66">
        <f>IF(Valor_normalizado!S143=0,32,IFERROR(RANK(Valor_normalizado!S143,Valor_normalizado!S$130:S$161,0),"NA"))</f>
        <v>17</v>
      </c>
      <c r="T133" s="66">
        <f>IF(Valor_normalizado!T143=0,32,IFERROR(RANK(Valor_normalizado!T143,Valor_normalizado!T$130:T$161,0),"NA"))</f>
        <v>21</v>
      </c>
      <c r="U133" s="66">
        <f>IF(Valor_normalizado!U143=0,32,IFERROR(RANK(Valor_normalizado!U143,Valor_normalizado!U$130:U$161,0),"NA"))</f>
        <v>9</v>
      </c>
      <c r="V133" s="66">
        <f>IF(Valor_normalizado!V143=0,32,IFERROR(RANK(Valor_normalizado!V143,Valor_normalizado!V$130:V$161,0),"NA"))</f>
        <v>14</v>
      </c>
      <c r="W133" s="66">
        <f>IF(Valor_normalizado!W143=0,32,IFERROR(RANK(Valor_normalizado!W143,Valor_normalizado!W$130:W$161,0),"NA"))</f>
        <v>15</v>
      </c>
      <c r="X133" s="66">
        <f>IF(Valor_normalizado!X143=0,32,IFERROR(RANK(Valor_normalizado!X143,Valor_normalizado!X$130:X$161,0),"NA"))</f>
        <v>14</v>
      </c>
      <c r="Y133" s="66">
        <f>IF(Valor_normalizado!Y143=0,32,IFERROR(RANK(Valor_normalizado!Y143,Valor_normalizado!Y$130:Y$161,0),"NA"))</f>
        <v>11</v>
      </c>
    </row>
    <row r="134" ht="14.25" hidden="1" customHeight="1">
      <c r="A134" s="51" t="s">
        <v>309</v>
      </c>
      <c r="B134" s="23">
        <v>2023.0</v>
      </c>
      <c r="C134" s="66">
        <f>IF(Valor_normalizado!C149=0,32,IFERROR(RANK(Valor_normalizado!C149,Valor_normalizado!C$130:C$161,0),"NA"))</f>
        <v>12</v>
      </c>
      <c r="D134" s="66">
        <f>IF(Valor_normalizado!D149=0,32,IFERROR(RANK(Valor_normalizado!D149,Valor_normalizado!D$130:D$161,0),"NA"))</f>
        <v>4</v>
      </c>
      <c r="E134" s="66">
        <f>IF(Valor_normalizado!E149=0,32,IFERROR(RANK(Valor_normalizado!E149,Valor_normalizado!E$130:E$161,0),"NA"))</f>
        <v>13</v>
      </c>
      <c r="F134" s="66">
        <f>IF(Valor_normalizado!F149=0,32,IFERROR(RANK(Valor_normalizado!F149,Valor_normalizado!F$130:F$161,0),"NA"))</f>
        <v>1</v>
      </c>
      <c r="G134" s="66">
        <f>IF(Valor_normalizado!G149=0,32,IFERROR(RANK(Valor_normalizado!G149,Valor_normalizado!G$130:G$161,0),"NA"))</f>
        <v>10</v>
      </c>
      <c r="H134" s="66">
        <f>IF(Valor_normalizado!H149=0,32,IFERROR(RANK(Valor_normalizado!H149,Valor_normalizado!H$130:H$161,0),"NA"))</f>
        <v>23</v>
      </c>
      <c r="I134" s="66">
        <f>IF(Valor_normalizado!I149=0,32,IFERROR(RANK(Valor_normalizado!I149,Valor_normalizado!I$130:I$161,0),"NA"))</f>
        <v>23</v>
      </c>
      <c r="J134" s="66">
        <f>IF(Valor_normalizado!J149=0,32,IFERROR(RANK(Valor_normalizado!J149,Valor_normalizado!J$130:J$161,0),"NA"))</f>
        <v>22</v>
      </c>
      <c r="K134" s="66">
        <f>IF(Valor_normalizado!K149=0,32,IFERROR(RANK(Valor_normalizado!K149,Valor_normalizado!K$130:K$161,0),"NA"))</f>
        <v>26</v>
      </c>
      <c r="L134" s="66">
        <f>IF(Valor_normalizado!L149=0,32,IFERROR(RANK(Valor_normalizado!L149,Valor_normalizado!L$130:L$161,0),"NA"))</f>
        <v>14</v>
      </c>
      <c r="M134" s="66">
        <f>IF(Valor_normalizado!M149=0,32,IFERROR(RANK(Valor_normalizado!M149,Valor_normalizado!M$130:M$161,0),"NA"))</f>
        <v>25</v>
      </c>
      <c r="N134" s="66">
        <f>IF(Valor_normalizado!N149=0,32,IFERROR(RANK(Valor_normalizado!N149,Valor_normalizado!N$130:N$161,0),"NA"))</f>
        <v>32</v>
      </c>
      <c r="O134" s="66">
        <f>IF(Valor_normalizado!O149=0,32,IFERROR(RANK(Valor_normalizado!O149,Valor_normalizado!O$130:O$161,0),"NA"))</f>
        <v>22</v>
      </c>
      <c r="P134" s="66">
        <f>IF(Valor_normalizado!P149=0,32,IFERROR(RANK(Valor_normalizado!P149,Valor_normalizado!P$130:P$161,0),"NA"))</f>
        <v>22</v>
      </c>
      <c r="Q134" s="66">
        <f>IF(Valor_normalizado!Q149=0,32,IFERROR(RANK(Valor_normalizado!Q149,Valor_normalizado!Q$130:Q$161,0),"NA"))</f>
        <v>21</v>
      </c>
      <c r="R134" s="66">
        <f>IF(Valor_normalizado!R149=0,32,IFERROR(RANK(Valor_normalizado!R149,Valor_normalizado!R$130:R$161,0),"NA"))</f>
        <v>23</v>
      </c>
      <c r="S134" s="66">
        <f>IF(Valor_normalizado!S149=0,32,IFERROR(RANK(Valor_normalizado!S149,Valor_normalizado!S$130:S$161,0),"NA"))</f>
        <v>20</v>
      </c>
      <c r="T134" s="66">
        <f>IF(Valor_normalizado!T149=0,32,IFERROR(RANK(Valor_normalizado!T149,Valor_normalizado!T$130:T$161,0),"NA"))</f>
        <v>17</v>
      </c>
      <c r="U134" s="66">
        <f>IF(Valor_normalizado!U149=0,32,IFERROR(RANK(Valor_normalizado!U149,Valor_normalizado!U$130:U$161,0),"NA"))</f>
        <v>11</v>
      </c>
      <c r="V134" s="66">
        <f>IF(Valor_normalizado!V149=0,32,IFERROR(RANK(Valor_normalizado!V149,Valor_normalizado!V$130:V$161,0),"NA"))</f>
        <v>19</v>
      </c>
      <c r="W134" s="66">
        <f>IF(Valor_normalizado!W149=0,32,IFERROR(RANK(Valor_normalizado!W149,Valor_normalizado!W$130:W$161,0),"NA"))</f>
        <v>18</v>
      </c>
      <c r="X134" s="66">
        <f>IF(Valor_normalizado!X149=0,32,IFERROR(RANK(Valor_normalizado!X149,Valor_normalizado!X$130:X$161,0),"NA"))</f>
        <v>20</v>
      </c>
      <c r="Y134" s="66">
        <f>IF(Valor_normalizado!Y149=0,32,IFERROR(RANK(Valor_normalizado!Y149,Valor_normalizado!Y$130:Y$161,0),"NA"))</f>
        <v>16</v>
      </c>
    </row>
    <row r="135" ht="14.25" hidden="1" customHeight="1">
      <c r="A135" s="49" t="s">
        <v>310</v>
      </c>
      <c r="B135" s="23">
        <v>2023.0</v>
      </c>
      <c r="C135" s="66">
        <f>IF(Valor_normalizado!C134=0,32,IFERROR(RANK(Valor_normalizado!C134,Valor_normalizado!C$130:C$161,0),"NA"))</f>
        <v>1</v>
      </c>
      <c r="D135" s="66">
        <f>IF(Valor_normalizado!D134=0,32,IFERROR(RANK(Valor_normalizado!D134,Valor_normalizado!D$130:D$161,0),"NA"))</f>
        <v>8</v>
      </c>
      <c r="E135" s="66">
        <f>IF(Valor_normalizado!E134=0,32,IFERROR(RANK(Valor_normalizado!E134,Valor_normalizado!E$130:E$161,0),"NA"))</f>
        <v>5</v>
      </c>
      <c r="F135" s="66">
        <f>IF(Valor_normalizado!F134=0,32,IFERROR(RANK(Valor_normalizado!F134,Valor_normalizado!F$130:F$161,0),"NA"))</f>
        <v>8</v>
      </c>
      <c r="G135" s="66">
        <f>IF(Valor_normalizado!G134=0,32,IFERROR(RANK(Valor_normalizado!G134,Valor_normalizado!G$130:G$161,0),"NA"))</f>
        <v>5</v>
      </c>
      <c r="H135" s="66">
        <f>IF(Valor_normalizado!H134=0,32,IFERROR(RANK(Valor_normalizado!H134,Valor_normalizado!H$130:H$161,0),"NA"))</f>
        <v>4</v>
      </c>
      <c r="I135" s="66">
        <f>IF(Valor_normalizado!I134=0,32,IFERROR(RANK(Valor_normalizado!I134,Valor_normalizado!I$130:I$161,0),"NA"))</f>
        <v>6</v>
      </c>
      <c r="J135" s="66">
        <f>IF(Valor_normalizado!J134=0,32,IFERROR(RANK(Valor_normalizado!J134,Valor_normalizado!J$130:J$161,0),"NA"))</f>
        <v>25</v>
      </c>
      <c r="K135" s="66">
        <f>IF(Valor_normalizado!K134=0,32,IFERROR(RANK(Valor_normalizado!K134,Valor_normalizado!K$130:K$161,0),"NA"))</f>
        <v>8</v>
      </c>
      <c r="L135" s="66">
        <f>IF(Valor_normalizado!L134=0,32,IFERROR(RANK(Valor_normalizado!L134,Valor_normalizado!L$130:L$161,0),"NA"))</f>
        <v>7</v>
      </c>
      <c r="M135" s="66">
        <f>IF(Valor_normalizado!M134=0,32,IFERROR(RANK(Valor_normalizado!M134,Valor_normalizado!M$130:M$161,0),"NA"))</f>
        <v>17</v>
      </c>
      <c r="N135" s="66">
        <f>IF(Valor_normalizado!N134=0,32,IFERROR(RANK(Valor_normalizado!N134,Valor_normalizado!N$130:N$161,0),"NA"))</f>
        <v>32</v>
      </c>
      <c r="O135" s="66">
        <f>IF(Valor_normalizado!O134=0,32,IFERROR(RANK(Valor_normalizado!O134,Valor_normalizado!O$130:O$161,0),"NA"))</f>
        <v>9</v>
      </c>
      <c r="P135" s="66">
        <f>IF(Valor_normalizado!P134=0,32,IFERROR(RANK(Valor_normalizado!P134,Valor_normalizado!P$130:P$161,0),"NA"))</f>
        <v>13</v>
      </c>
      <c r="Q135" s="66">
        <f>IF(Valor_normalizado!Q134=0,32,IFERROR(RANK(Valor_normalizado!Q134,Valor_normalizado!Q$130:Q$161,0),"NA"))</f>
        <v>15</v>
      </c>
      <c r="R135" s="66">
        <f>IF(Valor_normalizado!R134=0,32,IFERROR(RANK(Valor_normalizado!R134,Valor_normalizado!R$130:R$161,0),"NA"))</f>
        <v>17</v>
      </c>
      <c r="S135" s="66">
        <f>IF(Valor_normalizado!S134=0,32,IFERROR(RANK(Valor_normalizado!S134,Valor_normalizado!S$130:S$161,0),"NA"))</f>
        <v>2</v>
      </c>
      <c r="T135" s="66">
        <f>IF(Valor_normalizado!T134=0,32,IFERROR(RANK(Valor_normalizado!T134,Valor_normalizado!T$130:T$161,0),"NA"))</f>
        <v>1</v>
      </c>
      <c r="U135" s="66">
        <f>IF(Valor_normalizado!U134=0,32,IFERROR(RANK(Valor_normalizado!U134,Valor_normalizado!U$130:U$161,0),"NA"))</f>
        <v>7</v>
      </c>
      <c r="V135" s="66">
        <f>IF(Valor_normalizado!V134=0,32,IFERROR(RANK(Valor_normalizado!V134,Valor_normalizado!V$130:V$161,0),"NA"))</f>
        <v>7</v>
      </c>
      <c r="W135" s="66">
        <f>IF(Valor_normalizado!W134=0,32,IFERROR(RANK(Valor_normalizado!W134,Valor_normalizado!W$130:W$161,0),"NA"))</f>
        <v>1</v>
      </c>
      <c r="X135" s="66">
        <f>IF(Valor_normalizado!X134=0,32,IFERROR(RANK(Valor_normalizado!X134,Valor_normalizado!X$130:X$161,0),"NA"))</f>
        <v>5</v>
      </c>
      <c r="Y135" s="66">
        <f>IF(Valor_normalizado!Y134=0,32,IFERROR(RANK(Valor_normalizado!Y134,Valor_normalizado!Y$130:Y$161,0),"NA"))</f>
        <v>10</v>
      </c>
    </row>
    <row r="136" ht="14.25" hidden="1" customHeight="1">
      <c r="A136" s="51" t="s">
        <v>306</v>
      </c>
      <c r="B136" s="23">
        <v>2023.0</v>
      </c>
      <c r="C136" s="66">
        <f>IF(Valor_normalizado!C131=0,32,IFERROR(RANK(Valor_normalizado!C131,Valor_normalizado!C$130:C$161,0),"NA"))</f>
        <v>3</v>
      </c>
      <c r="D136" s="66">
        <f>IF(Valor_normalizado!D131=0,32,IFERROR(RANK(Valor_normalizado!D131,Valor_normalizado!D$130:D$161,0),"NA"))</f>
        <v>2</v>
      </c>
      <c r="E136" s="66">
        <f>IF(Valor_normalizado!E131=0,32,IFERROR(RANK(Valor_normalizado!E131,Valor_normalizado!E$130:E$161,0),"NA"))</f>
        <v>1</v>
      </c>
      <c r="F136" s="66">
        <f>IF(Valor_normalizado!F131=0,32,IFERROR(RANK(Valor_normalizado!F131,Valor_normalizado!F$130:F$161,0),"NA"))</f>
        <v>2</v>
      </c>
      <c r="G136" s="66">
        <f>IF(Valor_normalizado!G131=0,32,IFERROR(RANK(Valor_normalizado!G131,Valor_normalizado!G$130:G$161,0),"NA"))</f>
        <v>1</v>
      </c>
      <c r="H136" s="66">
        <f>IF(Valor_normalizado!H131=0,32,IFERROR(RANK(Valor_normalizado!H131,Valor_normalizado!H$130:H$161,0),"NA"))</f>
        <v>2</v>
      </c>
      <c r="I136" s="66">
        <f>IF(Valor_normalizado!I131=0,32,IFERROR(RANK(Valor_normalizado!I131,Valor_normalizado!I$130:I$161,0),"NA"))</f>
        <v>2</v>
      </c>
      <c r="J136" s="66">
        <f>IF(Valor_normalizado!J131=0,32,IFERROR(RANK(Valor_normalizado!J131,Valor_normalizado!J$130:J$161,0),"NA"))</f>
        <v>2</v>
      </c>
      <c r="K136" s="66">
        <f>IF(Valor_normalizado!K131=0,32,IFERROR(RANK(Valor_normalizado!K131,Valor_normalizado!K$130:K$161,0),"NA"))</f>
        <v>2</v>
      </c>
      <c r="L136" s="66">
        <f>IF(Valor_normalizado!L131=0,32,IFERROR(RANK(Valor_normalizado!L131,Valor_normalizado!L$130:L$161,0),"NA"))</f>
        <v>1</v>
      </c>
      <c r="M136" s="66">
        <f>IF(Valor_normalizado!M131=0,32,IFERROR(RANK(Valor_normalizado!M131,Valor_normalizado!M$130:M$161,0),"NA"))</f>
        <v>4</v>
      </c>
      <c r="N136" s="66">
        <f>IF(Valor_normalizado!N131=0,32,IFERROR(RANK(Valor_normalizado!N131,Valor_normalizado!N$130:N$161,0),"NA"))</f>
        <v>3</v>
      </c>
      <c r="O136" s="66">
        <f>IF(Valor_normalizado!O131=0,32,IFERROR(RANK(Valor_normalizado!O131,Valor_normalizado!O$130:O$161,0),"NA"))</f>
        <v>4</v>
      </c>
      <c r="P136" s="66">
        <f>IF(Valor_normalizado!P131=0,32,IFERROR(RANK(Valor_normalizado!P131,Valor_normalizado!P$130:P$161,0),"NA"))</f>
        <v>1</v>
      </c>
      <c r="Q136" s="66">
        <f>IF(Valor_normalizado!Q131=0,32,IFERROR(RANK(Valor_normalizado!Q131,Valor_normalizado!Q$130:Q$161,0),"NA"))</f>
        <v>11</v>
      </c>
      <c r="R136" s="66">
        <f>IF(Valor_normalizado!R131=0,32,IFERROR(RANK(Valor_normalizado!R131,Valor_normalizado!R$130:R$161,0),"NA"))</f>
        <v>3</v>
      </c>
      <c r="S136" s="66">
        <f>IF(Valor_normalizado!S131=0,32,IFERROR(RANK(Valor_normalizado!S131,Valor_normalizado!S$130:S$161,0),"NA"))</f>
        <v>3</v>
      </c>
      <c r="T136" s="66">
        <f>IF(Valor_normalizado!T131=0,32,IFERROR(RANK(Valor_normalizado!T131,Valor_normalizado!T$130:T$161,0),"NA"))</f>
        <v>4</v>
      </c>
      <c r="U136" s="66">
        <f>IF(Valor_normalizado!U131=0,32,IFERROR(RANK(Valor_normalizado!U131,Valor_normalizado!U$130:U$161,0),"NA"))</f>
        <v>6</v>
      </c>
      <c r="V136" s="66">
        <f>IF(Valor_normalizado!V131=0,32,IFERROR(RANK(Valor_normalizado!V131,Valor_normalizado!V$130:V$161,0),"NA"))</f>
        <v>2</v>
      </c>
      <c r="W136" s="66">
        <f>IF(Valor_normalizado!W131=0,32,IFERROR(RANK(Valor_normalizado!W131,Valor_normalizado!W$130:W$161,0),"NA"))</f>
        <v>2</v>
      </c>
      <c r="X136" s="66">
        <f>IF(Valor_normalizado!X131=0,32,IFERROR(RANK(Valor_normalizado!X131,Valor_normalizado!X$130:X$161,0),"NA"))</f>
        <v>2</v>
      </c>
      <c r="Y136" s="66">
        <f>IF(Valor_normalizado!Y131=0,32,IFERROR(RANK(Valor_normalizado!Y131,Valor_normalizado!Y$130:Y$161,0),"NA"))</f>
        <v>1</v>
      </c>
    </row>
    <row r="137" ht="14.25" hidden="1" customHeight="1">
      <c r="A137" s="49" t="s">
        <v>316</v>
      </c>
      <c r="B137" s="23">
        <v>2023.0</v>
      </c>
      <c r="C137" s="66">
        <f>IF(Valor_normalizado!C150=0,32,IFERROR(RANK(Valor_normalizado!C150,Valor_normalizado!C$130:C$161,0),"NA"))</f>
        <v>21</v>
      </c>
      <c r="D137" s="66">
        <f>IF(Valor_normalizado!D150=0,32,IFERROR(RANK(Valor_normalizado!D150,Valor_normalizado!D$130:D$161,0),"NA"))</f>
        <v>21</v>
      </c>
      <c r="E137" s="66">
        <f>IF(Valor_normalizado!E150=0,32,IFERROR(RANK(Valor_normalizado!E150,Valor_normalizado!E$130:E$161,0),"NA"))</f>
        <v>21</v>
      </c>
      <c r="F137" s="66">
        <f>IF(Valor_normalizado!F150=0,32,IFERROR(RANK(Valor_normalizado!F150,Valor_normalizado!F$130:F$161,0),"NA"))</f>
        <v>25</v>
      </c>
      <c r="G137" s="66">
        <f>IF(Valor_normalizado!G150=0,32,IFERROR(RANK(Valor_normalizado!G150,Valor_normalizado!G$130:G$161,0),"NA"))</f>
        <v>21</v>
      </c>
      <c r="H137" s="66">
        <f>IF(Valor_normalizado!H150=0,32,IFERROR(RANK(Valor_normalizado!H150,Valor_normalizado!H$130:H$161,0),"NA"))</f>
        <v>21</v>
      </c>
      <c r="I137" s="66">
        <f>IF(Valor_normalizado!I150=0,32,IFERROR(RANK(Valor_normalizado!I150,Valor_normalizado!I$130:I$161,0),"NA"))</f>
        <v>17</v>
      </c>
      <c r="J137" s="66">
        <f>IF(Valor_normalizado!J150=0,32,IFERROR(RANK(Valor_normalizado!J150,Valor_normalizado!J$130:J$161,0),"NA"))</f>
        <v>16</v>
      </c>
      <c r="K137" s="66">
        <f>IF(Valor_normalizado!K150=0,32,IFERROR(RANK(Valor_normalizado!K150,Valor_normalizado!K$130:K$161,0),"NA"))</f>
        <v>19</v>
      </c>
      <c r="L137" s="66">
        <f>IF(Valor_normalizado!L150=0,32,IFERROR(RANK(Valor_normalizado!L150,Valor_normalizado!L$130:L$161,0),"NA"))</f>
        <v>21</v>
      </c>
      <c r="M137" s="66">
        <f>IF(Valor_normalizado!M150=0,32,IFERROR(RANK(Valor_normalizado!M150,Valor_normalizado!M$130:M$161,0),"NA"))</f>
        <v>16</v>
      </c>
      <c r="N137" s="66">
        <f>IF(Valor_normalizado!N150=0,32,IFERROR(RANK(Valor_normalizado!N150,Valor_normalizado!N$130:N$161,0),"NA"))</f>
        <v>32</v>
      </c>
      <c r="O137" s="66">
        <f>IF(Valor_normalizado!O150=0,32,IFERROR(RANK(Valor_normalizado!O150,Valor_normalizado!O$130:O$161,0),"NA"))</f>
        <v>15</v>
      </c>
      <c r="P137" s="66">
        <f>IF(Valor_normalizado!P150=0,32,IFERROR(RANK(Valor_normalizado!P150,Valor_normalizado!P$130:P$161,0),"NA"))</f>
        <v>18</v>
      </c>
      <c r="Q137" s="66">
        <f>IF(Valor_normalizado!Q150=0,32,IFERROR(RANK(Valor_normalizado!Q150,Valor_normalizado!Q$130:Q$161,0),"NA"))</f>
        <v>17</v>
      </c>
      <c r="R137" s="66">
        <f>IF(Valor_normalizado!R150=0,32,IFERROR(RANK(Valor_normalizado!R150,Valor_normalizado!R$130:R$161,0),"NA"))</f>
        <v>18</v>
      </c>
      <c r="S137" s="66">
        <f>IF(Valor_normalizado!S150=0,32,IFERROR(RANK(Valor_normalizado!S150,Valor_normalizado!S$130:S$161,0),"NA"))</f>
        <v>32</v>
      </c>
      <c r="T137" s="66">
        <f>IF(Valor_normalizado!T150=0,32,IFERROR(RANK(Valor_normalizado!T150,Valor_normalizado!T$130:T$161,0),"NA"))</f>
        <v>18</v>
      </c>
      <c r="U137" s="66">
        <f>IF(Valor_normalizado!U150=0,32,IFERROR(RANK(Valor_normalizado!U150,Valor_normalizado!U$130:U$161,0),"NA"))</f>
        <v>32</v>
      </c>
      <c r="V137" s="66">
        <f>IF(Valor_normalizado!V150=0,32,IFERROR(RANK(Valor_normalizado!V150,Valor_normalizado!V$130:V$161,0),"NA"))</f>
        <v>22</v>
      </c>
      <c r="W137" s="66">
        <f>IF(Valor_normalizado!W150=0,32,IFERROR(RANK(Valor_normalizado!W150,Valor_normalizado!W$130:W$161,0),"NA"))</f>
        <v>23</v>
      </c>
      <c r="X137" s="66">
        <f>IF(Valor_normalizado!X150=0,32,IFERROR(RANK(Valor_normalizado!X150,Valor_normalizado!X$130:X$161,0),"NA"))</f>
        <v>21</v>
      </c>
      <c r="Y137" s="66">
        <f>IF(Valor_normalizado!Y150=0,32,IFERROR(RANK(Valor_normalizado!Y150,Valor_normalizado!Y$130:Y$161,0),"NA"))</f>
        <v>22</v>
      </c>
    </row>
    <row r="138" ht="14.25" hidden="1" customHeight="1">
      <c r="A138" s="51" t="s">
        <v>313</v>
      </c>
      <c r="B138" s="23">
        <v>2023.0</v>
      </c>
      <c r="C138" s="66">
        <f>IF(Valor_normalizado!C139=0,32,IFERROR(RANK(Valor_normalizado!C139,Valor_normalizado!C$130:C$161,0),"NA"))</f>
        <v>14</v>
      </c>
      <c r="D138" s="66">
        <f>IF(Valor_normalizado!D139=0,32,IFERROR(RANK(Valor_normalizado!D139,Valor_normalizado!D$130:D$161,0),"NA"))</f>
        <v>10</v>
      </c>
      <c r="E138" s="66">
        <f>IF(Valor_normalizado!E139=0,32,IFERROR(RANK(Valor_normalizado!E139,Valor_normalizado!E$130:E$161,0),"NA"))</f>
        <v>11</v>
      </c>
      <c r="F138" s="66">
        <f>IF(Valor_normalizado!F139=0,32,IFERROR(RANK(Valor_normalizado!F139,Valor_normalizado!F$130:F$161,0),"NA"))</f>
        <v>15</v>
      </c>
      <c r="G138" s="66">
        <f>IF(Valor_normalizado!G139=0,32,IFERROR(RANK(Valor_normalizado!G139,Valor_normalizado!G$130:G$161,0),"NA"))</f>
        <v>11</v>
      </c>
      <c r="H138" s="66">
        <f>IF(Valor_normalizado!H139=0,32,IFERROR(RANK(Valor_normalizado!H139,Valor_normalizado!H$130:H$161,0),"NA"))</f>
        <v>13</v>
      </c>
      <c r="I138" s="66">
        <f>IF(Valor_normalizado!I139=0,32,IFERROR(RANK(Valor_normalizado!I139,Valor_normalizado!I$130:I$161,0),"NA"))</f>
        <v>11</v>
      </c>
      <c r="J138" s="66">
        <f>IF(Valor_normalizado!J139=0,32,IFERROR(RANK(Valor_normalizado!J139,Valor_normalizado!J$130:J$161,0),"NA"))</f>
        <v>7</v>
      </c>
      <c r="K138" s="66">
        <f>IF(Valor_normalizado!K139=0,32,IFERROR(RANK(Valor_normalizado!K139,Valor_normalizado!K$130:K$161,0),"NA"))</f>
        <v>10</v>
      </c>
      <c r="L138" s="66">
        <f>IF(Valor_normalizado!L139=0,32,IFERROR(RANK(Valor_normalizado!L139,Valor_normalizado!L$130:L$161,0),"NA"))</f>
        <v>11</v>
      </c>
      <c r="M138" s="66">
        <f>IF(Valor_normalizado!M139=0,32,IFERROR(RANK(Valor_normalizado!M139,Valor_normalizado!M$130:M$161,0),"NA"))</f>
        <v>8</v>
      </c>
      <c r="N138" s="66">
        <f>IF(Valor_normalizado!N139=0,32,IFERROR(RANK(Valor_normalizado!N139,Valor_normalizado!N$130:N$161,0),"NA"))</f>
        <v>4</v>
      </c>
      <c r="O138" s="66">
        <f>IF(Valor_normalizado!O139=0,32,IFERROR(RANK(Valor_normalizado!O139,Valor_normalizado!O$130:O$161,0),"NA"))</f>
        <v>7</v>
      </c>
      <c r="P138" s="66">
        <f>IF(Valor_normalizado!P139=0,32,IFERROR(RANK(Valor_normalizado!P139,Valor_normalizado!P$130:P$161,0),"NA"))</f>
        <v>2</v>
      </c>
      <c r="Q138" s="66">
        <f>IF(Valor_normalizado!Q139=0,32,IFERROR(RANK(Valor_normalizado!Q139,Valor_normalizado!Q$130:Q$161,0),"NA"))</f>
        <v>19</v>
      </c>
      <c r="R138" s="66">
        <f>IF(Valor_normalizado!R139=0,32,IFERROR(RANK(Valor_normalizado!R139,Valor_normalizado!R$130:R$161,0),"NA"))</f>
        <v>5</v>
      </c>
      <c r="S138" s="66">
        <f>IF(Valor_normalizado!S139=0,32,IFERROR(RANK(Valor_normalizado!S139,Valor_normalizado!S$130:S$161,0),"NA"))</f>
        <v>10</v>
      </c>
      <c r="T138" s="66">
        <f>IF(Valor_normalizado!T139=0,32,IFERROR(RANK(Valor_normalizado!T139,Valor_normalizado!T$130:T$161,0),"NA"))</f>
        <v>13</v>
      </c>
      <c r="U138" s="66">
        <f>IF(Valor_normalizado!U139=0,32,IFERROR(RANK(Valor_normalizado!U139,Valor_normalizado!U$130:U$161,0),"NA"))</f>
        <v>14</v>
      </c>
      <c r="V138" s="66">
        <f>IF(Valor_normalizado!V139=0,32,IFERROR(RANK(Valor_normalizado!V139,Valor_normalizado!V$130:V$161,0),"NA"))</f>
        <v>9</v>
      </c>
      <c r="W138" s="66">
        <f>IF(Valor_normalizado!W139=0,32,IFERROR(RANK(Valor_normalizado!W139,Valor_normalizado!W$130:W$161,0),"NA"))</f>
        <v>11</v>
      </c>
      <c r="X138" s="66">
        <f>IF(Valor_normalizado!X139=0,32,IFERROR(RANK(Valor_normalizado!X139,Valor_normalizado!X$130:X$161,0),"NA"))</f>
        <v>10</v>
      </c>
      <c r="Y138" s="66">
        <f>IF(Valor_normalizado!Y139=0,32,IFERROR(RANK(Valor_normalizado!Y139,Valor_normalizado!Y$130:Y$161,0),"NA"))</f>
        <v>8</v>
      </c>
    </row>
    <row r="139" ht="14.25" hidden="1" customHeight="1">
      <c r="A139" s="51" t="s">
        <v>311</v>
      </c>
      <c r="B139" s="23">
        <v>2023.0</v>
      </c>
      <c r="C139" s="66">
        <f>IF(Valor_normalizado!C135=0,32,IFERROR(RANK(Valor_normalizado!C135,Valor_normalizado!C$130:C$161,0),"NA"))</f>
        <v>7</v>
      </c>
      <c r="D139" s="66">
        <f>IF(Valor_normalizado!D135=0,32,IFERROR(RANK(Valor_normalizado!D135,Valor_normalizado!D$130:D$161,0),"NA"))</f>
        <v>3</v>
      </c>
      <c r="E139" s="66">
        <f>IF(Valor_normalizado!E135=0,32,IFERROR(RANK(Valor_normalizado!E135,Valor_normalizado!E$130:E$161,0),"NA"))</f>
        <v>3</v>
      </c>
      <c r="F139" s="66">
        <f>IF(Valor_normalizado!F135=0,32,IFERROR(RANK(Valor_normalizado!F135,Valor_normalizado!F$130:F$161,0),"NA"))</f>
        <v>4</v>
      </c>
      <c r="G139" s="66">
        <f>IF(Valor_normalizado!G135=0,32,IFERROR(RANK(Valor_normalizado!G135,Valor_normalizado!G$130:G$161,0),"NA"))</f>
        <v>3</v>
      </c>
      <c r="H139" s="66">
        <f>IF(Valor_normalizado!H135=0,32,IFERROR(RANK(Valor_normalizado!H135,Valor_normalizado!H$130:H$161,0),"NA"))</f>
        <v>8</v>
      </c>
      <c r="I139" s="66">
        <f>IF(Valor_normalizado!I135=0,32,IFERROR(RANK(Valor_normalizado!I135,Valor_normalizado!I$130:I$161,0),"NA"))</f>
        <v>10</v>
      </c>
      <c r="J139" s="66">
        <f>IF(Valor_normalizado!J135=0,32,IFERROR(RANK(Valor_normalizado!J135,Valor_normalizado!J$130:J$161,0),"NA"))</f>
        <v>8</v>
      </c>
      <c r="K139" s="66">
        <f>IF(Valor_normalizado!K135=0,32,IFERROR(RANK(Valor_normalizado!K135,Valor_normalizado!K$130:K$161,0),"NA"))</f>
        <v>7</v>
      </c>
      <c r="L139" s="66">
        <f>IF(Valor_normalizado!L135=0,32,IFERROR(RANK(Valor_normalizado!L135,Valor_normalizado!L$130:L$161,0),"NA"))</f>
        <v>6</v>
      </c>
      <c r="M139" s="66">
        <f>IF(Valor_normalizado!M135=0,32,IFERROR(RANK(Valor_normalizado!M135,Valor_normalizado!M$130:M$161,0),"NA"))</f>
        <v>5</v>
      </c>
      <c r="N139" s="66">
        <f>IF(Valor_normalizado!N135=0,32,IFERROR(RANK(Valor_normalizado!N135,Valor_normalizado!N$130:N$161,0),"NA"))</f>
        <v>9</v>
      </c>
      <c r="O139" s="66">
        <f>IF(Valor_normalizado!O135=0,32,IFERROR(RANK(Valor_normalizado!O135,Valor_normalizado!O$130:O$161,0),"NA"))</f>
        <v>6</v>
      </c>
      <c r="P139" s="66">
        <f>IF(Valor_normalizado!P135=0,32,IFERROR(RANK(Valor_normalizado!P135,Valor_normalizado!P$130:P$161,0),"NA"))</f>
        <v>13</v>
      </c>
      <c r="Q139" s="66">
        <f>IF(Valor_normalizado!Q135=0,32,IFERROR(RANK(Valor_normalizado!Q135,Valor_normalizado!Q$130:Q$161,0),"NA"))</f>
        <v>13</v>
      </c>
      <c r="R139" s="66">
        <f>IF(Valor_normalizado!R135=0,32,IFERROR(RANK(Valor_normalizado!R135,Valor_normalizado!R$130:R$161,0),"NA"))</f>
        <v>8</v>
      </c>
      <c r="S139" s="66">
        <f>IF(Valor_normalizado!S135=0,32,IFERROR(RANK(Valor_normalizado!S135,Valor_normalizado!S$130:S$161,0),"NA"))</f>
        <v>1</v>
      </c>
      <c r="T139" s="66">
        <f>IF(Valor_normalizado!T135=0,32,IFERROR(RANK(Valor_normalizado!T135,Valor_normalizado!T$130:T$161,0),"NA"))</f>
        <v>6</v>
      </c>
      <c r="U139" s="66">
        <f>IF(Valor_normalizado!U135=0,32,IFERROR(RANK(Valor_normalizado!U135,Valor_normalizado!U$130:U$161,0),"NA"))</f>
        <v>10</v>
      </c>
      <c r="V139" s="66">
        <f>IF(Valor_normalizado!V135=0,32,IFERROR(RANK(Valor_normalizado!V135,Valor_normalizado!V$130:V$161,0),"NA"))</f>
        <v>6</v>
      </c>
      <c r="W139" s="66">
        <f>IF(Valor_normalizado!W135=0,32,IFERROR(RANK(Valor_normalizado!W135,Valor_normalizado!W$130:W$161,0),"NA"))</f>
        <v>5</v>
      </c>
      <c r="X139" s="66">
        <f>IF(Valor_normalizado!X135=0,32,IFERROR(RANK(Valor_normalizado!X135,Valor_normalizado!X$130:X$161,0),"NA"))</f>
        <v>6</v>
      </c>
      <c r="Y139" s="66">
        <f>IF(Valor_normalizado!Y135=0,32,IFERROR(RANK(Valor_normalizado!Y135,Valor_normalizado!Y$130:Y$161,0),"NA"))</f>
        <v>6</v>
      </c>
    </row>
    <row r="140" ht="14.25" hidden="1" customHeight="1">
      <c r="A140" s="49" t="s">
        <v>320</v>
      </c>
      <c r="B140" s="23">
        <v>2023.0</v>
      </c>
      <c r="C140" s="66">
        <f>IF(Valor_normalizado!C132=0,32,IFERROR(RANK(Valor_normalizado!C132,Valor_normalizado!C$130:C$161,0),"NA"))</f>
        <v>2</v>
      </c>
      <c r="D140" s="66">
        <f>IF(Valor_normalizado!D132=0,32,IFERROR(RANK(Valor_normalizado!D132,Valor_normalizado!D$130:D$161,0),"NA"))</f>
        <v>1</v>
      </c>
      <c r="E140" s="66">
        <f>IF(Valor_normalizado!E132=0,32,IFERROR(RANK(Valor_normalizado!E132,Valor_normalizado!E$130:E$161,0),"NA"))</f>
        <v>6</v>
      </c>
      <c r="F140" s="66">
        <f>IF(Valor_normalizado!F132=0,32,IFERROR(RANK(Valor_normalizado!F132,Valor_normalizado!F$130:F$161,0),"NA"))</f>
        <v>10</v>
      </c>
      <c r="G140" s="66">
        <f>IF(Valor_normalizado!G132=0,32,IFERROR(RANK(Valor_normalizado!G132,Valor_normalizado!G$130:G$161,0),"NA"))</f>
        <v>2</v>
      </c>
      <c r="H140" s="66">
        <f>IF(Valor_normalizado!H132=0,32,IFERROR(RANK(Valor_normalizado!H132,Valor_normalizado!H$130:H$161,0),"NA"))</f>
        <v>7</v>
      </c>
      <c r="I140" s="66">
        <f>IF(Valor_normalizado!I132=0,32,IFERROR(RANK(Valor_normalizado!I132,Valor_normalizado!I$130:I$161,0),"NA"))</f>
        <v>9</v>
      </c>
      <c r="J140" s="66">
        <f>IF(Valor_normalizado!J132=0,32,IFERROR(RANK(Valor_normalizado!J132,Valor_normalizado!J$130:J$161,0),"NA"))</f>
        <v>4</v>
      </c>
      <c r="K140" s="66">
        <f>IF(Valor_normalizado!K132=0,32,IFERROR(RANK(Valor_normalizado!K132,Valor_normalizado!K$130:K$161,0),"NA"))</f>
        <v>6</v>
      </c>
      <c r="L140" s="66">
        <f>IF(Valor_normalizado!L132=0,32,IFERROR(RANK(Valor_normalizado!L132,Valor_normalizado!L$130:L$161,0),"NA"))</f>
        <v>4</v>
      </c>
      <c r="M140" s="66">
        <f>IF(Valor_normalizado!M132=0,32,IFERROR(RANK(Valor_normalizado!M132,Valor_normalizado!M$130:M$161,0),"NA"))</f>
        <v>3</v>
      </c>
      <c r="N140" s="66">
        <f>IF(Valor_normalizado!N132=0,32,IFERROR(RANK(Valor_normalizado!N132,Valor_normalizado!N$130:N$161,0),"NA"))</f>
        <v>5</v>
      </c>
      <c r="O140" s="66">
        <f>IF(Valor_normalizado!O132=0,32,IFERROR(RANK(Valor_normalizado!O132,Valor_normalizado!O$130:O$161,0),"NA"))</f>
        <v>5</v>
      </c>
      <c r="P140" s="66">
        <f>IF(Valor_normalizado!P132=0,32,IFERROR(RANK(Valor_normalizado!P132,Valor_normalizado!P$130:P$161,0),"NA"))</f>
        <v>5</v>
      </c>
      <c r="Q140" s="66">
        <f>IF(Valor_normalizado!Q132=0,32,IFERROR(RANK(Valor_normalizado!Q132,Valor_normalizado!Q$130:Q$161,0),"NA"))</f>
        <v>8</v>
      </c>
      <c r="R140" s="66">
        <f>IF(Valor_normalizado!R132=0,32,IFERROR(RANK(Valor_normalizado!R132,Valor_normalizado!R$130:R$161,0),"NA"))</f>
        <v>4</v>
      </c>
      <c r="S140" s="66">
        <f>IF(Valor_normalizado!S132=0,32,IFERROR(RANK(Valor_normalizado!S132,Valor_normalizado!S$130:S$161,0),"NA"))</f>
        <v>5</v>
      </c>
      <c r="T140" s="66">
        <f>IF(Valor_normalizado!T132=0,32,IFERROR(RANK(Valor_normalizado!T132,Valor_normalizado!T$130:T$161,0),"NA"))</f>
        <v>11</v>
      </c>
      <c r="U140" s="66">
        <f>IF(Valor_normalizado!U132=0,32,IFERROR(RANK(Valor_normalizado!U132,Valor_normalizado!U$130:U$161,0),"NA"))</f>
        <v>3</v>
      </c>
      <c r="V140" s="66">
        <f>IF(Valor_normalizado!V132=0,32,IFERROR(RANK(Valor_normalizado!V132,Valor_normalizado!V$130:V$161,0),"NA"))</f>
        <v>1</v>
      </c>
      <c r="W140" s="66">
        <f>IF(Valor_normalizado!W132=0,32,IFERROR(RANK(Valor_normalizado!W132,Valor_normalizado!W$130:W$161,0),"NA"))</f>
        <v>3</v>
      </c>
      <c r="X140" s="66">
        <f>IF(Valor_normalizado!X132=0,32,IFERROR(RANK(Valor_normalizado!X132,Valor_normalizado!X$130:X$161,0),"NA"))</f>
        <v>3</v>
      </c>
      <c r="Y140" s="66">
        <f>IF(Valor_normalizado!Y132=0,32,IFERROR(RANK(Valor_normalizado!Y132,Valor_normalizado!Y$130:Y$161,0),"NA"))</f>
        <v>2</v>
      </c>
    </row>
    <row r="141" ht="14.25" hidden="1" customHeight="1">
      <c r="A141" s="49" t="s">
        <v>314</v>
      </c>
      <c r="B141" s="23">
        <v>2023.0</v>
      </c>
      <c r="C141" s="66">
        <f>IF(Valor_normalizado!C148=0,32,IFERROR(RANK(Valor_normalizado!C148,Valor_normalizado!C$130:C$161,0),"NA"))</f>
        <v>20</v>
      </c>
      <c r="D141" s="66">
        <f>IF(Valor_normalizado!D148=0,32,IFERROR(RANK(Valor_normalizado!D148,Valor_normalizado!D$130:D$161,0),"NA"))</f>
        <v>19</v>
      </c>
      <c r="E141" s="66">
        <f>IF(Valor_normalizado!E148=0,32,IFERROR(RANK(Valor_normalizado!E148,Valor_normalizado!E$130:E$161,0),"NA"))</f>
        <v>16</v>
      </c>
      <c r="F141" s="66">
        <f>IF(Valor_normalizado!F148=0,32,IFERROR(RANK(Valor_normalizado!F148,Valor_normalizado!F$130:F$161,0),"NA"))</f>
        <v>11</v>
      </c>
      <c r="G141" s="66">
        <f>IF(Valor_normalizado!G148=0,32,IFERROR(RANK(Valor_normalizado!G148,Valor_normalizado!G$130:G$161,0),"NA"))</f>
        <v>18</v>
      </c>
      <c r="H141" s="66">
        <f>IF(Valor_normalizado!H148=0,32,IFERROR(RANK(Valor_normalizado!H148,Valor_normalizado!H$130:H$161,0),"NA"))</f>
        <v>14</v>
      </c>
      <c r="I141" s="66">
        <f>IF(Valor_normalizado!I148=0,32,IFERROR(RANK(Valor_normalizado!I148,Valor_normalizado!I$130:I$161,0),"NA"))</f>
        <v>18</v>
      </c>
      <c r="J141" s="66">
        <f>IF(Valor_normalizado!J148=0,32,IFERROR(RANK(Valor_normalizado!J148,Valor_normalizado!J$130:J$161,0),"NA"))</f>
        <v>17</v>
      </c>
      <c r="K141" s="66">
        <f>IF(Valor_normalizado!K148=0,32,IFERROR(RANK(Valor_normalizado!K148,Valor_normalizado!K$130:K$161,0),"NA"))</f>
        <v>16</v>
      </c>
      <c r="L141" s="66">
        <f>IF(Valor_normalizado!L148=0,32,IFERROR(RANK(Valor_normalizado!L148,Valor_normalizado!L$130:L$161,0),"NA"))</f>
        <v>16</v>
      </c>
      <c r="M141" s="66">
        <f>IF(Valor_normalizado!M148=0,32,IFERROR(RANK(Valor_normalizado!M148,Valor_normalizado!M$130:M$161,0),"NA"))</f>
        <v>21</v>
      </c>
      <c r="N141" s="66">
        <f>IF(Valor_normalizado!N148=0,32,IFERROR(RANK(Valor_normalizado!N148,Valor_normalizado!N$130:N$161,0),"NA"))</f>
        <v>10</v>
      </c>
      <c r="O141" s="66">
        <f>IF(Valor_normalizado!O148=0,32,IFERROR(RANK(Valor_normalizado!O148,Valor_normalizado!O$130:O$161,0),"NA"))</f>
        <v>23</v>
      </c>
      <c r="P141" s="66">
        <f>IF(Valor_normalizado!P148=0,32,IFERROR(RANK(Valor_normalizado!P148,Valor_normalizado!P$130:P$161,0),"NA"))</f>
        <v>13</v>
      </c>
      <c r="Q141" s="66">
        <f>IF(Valor_normalizado!Q148=0,32,IFERROR(RANK(Valor_normalizado!Q148,Valor_normalizado!Q$130:Q$161,0),"NA"))</f>
        <v>22</v>
      </c>
      <c r="R141" s="66">
        <f>IF(Valor_normalizado!R148=0,32,IFERROR(RANK(Valor_normalizado!R148,Valor_normalizado!R$130:R$161,0),"NA"))</f>
        <v>19</v>
      </c>
      <c r="S141" s="66">
        <f>IF(Valor_normalizado!S148=0,32,IFERROR(RANK(Valor_normalizado!S148,Valor_normalizado!S$130:S$161,0),"NA"))</f>
        <v>16</v>
      </c>
      <c r="T141" s="66">
        <f>IF(Valor_normalizado!T148=0,32,IFERROR(RANK(Valor_normalizado!T148,Valor_normalizado!T$130:T$161,0),"NA"))</f>
        <v>32</v>
      </c>
      <c r="U141" s="66">
        <f>IF(Valor_normalizado!U148=0,32,IFERROR(RANK(Valor_normalizado!U148,Valor_normalizado!U$130:U$161,0),"NA"))</f>
        <v>17</v>
      </c>
      <c r="V141" s="66">
        <f>IF(Valor_normalizado!V148=0,32,IFERROR(RANK(Valor_normalizado!V148,Valor_normalizado!V$130:V$161,0),"NA"))</f>
        <v>12</v>
      </c>
      <c r="W141" s="66">
        <f>IF(Valor_normalizado!W148=0,32,IFERROR(RANK(Valor_normalizado!W148,Valor_normalizado!W$130:W$161,0),"NA"))</f>
        <v>21</v>
      </c>
      <c r="X141" s="66">
        <f>IF(Valor_normalizado!X148=0,32,IFERROR(RANK(Valor_normalizado!X148,Valor_normalizado!X$130:X$161,0),"NA"))</f>
        <v>19</v>
      </c>
      <c r="Y141" s="66">
        <f>IF(Valor_normalizado!Y148=0,32,IFERROR(RANK(Valor_normalizado!Y148,Valor_normalizado!Y$130:Y$161,0),"NA"))</f>
        <v>17</v>
      </c>
    </row>
    <row r="142" ht="14.25" hidden="1" customHeight="1">
      <c r="A142" s="51" t="s">
        <v>312</v>
      </c>
      <c r="B142" s="23">
        <v>2023.0</v>
      </c>
      <c r="C142" s="66">
        <f>IF(Valor_normalizado!C147=0,32,IFERROR(RANK(Valor_normalizado!C147,Valor_normalizado!C$130:C$161,0),"NA"))</f>
        <v>22</v>
      </c>
      <c r="D142" s="66">
        <f>IF(Valor_normalizado!D147=0,32,IFERROR(RANK(Valor_normalizado!D147,Valor_normalizado!D$130:D$161,0),"NA"))</f>
        <v>20</v>
      </c>
      <c r="E142" s="66">
        <f>IF(Valor_normalizado!E147=0,32,IFERROR(RANK(Valor_normalizado!E147,Valor_normalizado!E$130:E$161,0),"NA"))</f>
        <v>26</v>
      </c>
      <c r="F142" s="66">
        <f>IF(Valor_normalizado!F147=0,32,IFERROR(RANK(Valor_normalizado!F147,Valor_normalizado!F$130:F$161,0),"NA"))</f>
        <v>23</v>
      </c>
      <c r="G142" s="66">
        <f>IF(Valor_normalizado!G147=0,32,IFERROR(RANK(Valor_normalizado!G147,Valor_normalizado!G$130:G$161,0),"NA"))</f>
        <v>23</v>
      </c>
      <c r="H142" s="66">
        <f>IF(Valor_normalizado!H147=0,32,IFERROR(RANK(Valor_normalizado!H147,Valor_normalizado!H$130:H$161,0),"NA"))</f>
        <v>24</v>
      </c>
      <c r="I142" s="66">
        <f>IF(Valor_normalizado!I147=0,32,IFERROR(RANK(Valor_normalizado!I147,Valor_normalizado!I$130:I$161,0),"NA"))</f>
        <v>21</v>
      </c>
      <c r="J142" s="66">
        <f>IF(Valor_normalizado!J147=0,32,IFERROR(RANK(Valor_normalizado!J147,Valor_normalizado!J$130:J$161,0),"NA"))</f>
        <v>19</v>
      </c>
      <c r="K142" s="66">
        <f>IF(Valor_normalizado!K147=0,32,IFERROR(RANK(Valor_normalizado!K147,Valor_normalizado!K$130:K$161,0),"NA"))</f>
        <v>25</v>
      </c>
      <c r="L142" s="66">
        <f>IF(Valor_normalizado!L147=0,32,IFERROR(RANK(Valor_normalizado!L147,Valor_normalizado!L$130:L$161,0),"NA"))</f>
        <v>23</v>
      </c>
      <c r="M142" s="66">
        <f>IF(Valor_normalizado!M147=0,32,IFERROR(RANK(Valor_normalizado!M147,Valor_normalizado!M$130:M$161,0),"NA"))</f>
        <v>15</v>
      </c>
      <c r="N142" s="66">
        <f>IF(Valor_normalizado!N147=0,32,IFERROR(RANK(Valor_normalizado!N147,Valor_normalizado!N$130:N$161,0),"NA"))</f>
        <v>32</v>
      </c>
      <c r="O142" s="66">
        <f>IF(Valor_normalizado!O147=0,32,IFERROR(RANK(Valor_normalizado!O147,Valor_normalizado!O$130:O$161,0),"NA"))</f>
        <v>12</v>
      </c>
      <c r="P142" s="66">
        <f>IF(Valor_normalizado!P147=0,32,IFERROR(RANK(Valor_normalizado!P147,Valor_normalizado!P$130:P$161,0),"NA"))</f>
        <v>20</v>
      </c>
      <c r="Q142" s="66">
        <f>IF(Valor_normalizado!Q147=0,32,IFERROR(RANK(Valor_normalizado!Q147,Valor_normalizado!Q$130:Q$161,0),"NA"))</f>
        <v>23</v>
      </c>
      <c r="R142" s="66">
        <f>IF(Valor_normalizado!R147=0,32,IFERROR(RANK(Valor_normalizado!R147,Valor_normalizado!R$130:R$161,0),"NA"))</f>
        <v>20</v>
      </c>
      <c r="S142" s="66">
        <f>IF(Valor_normalizado!S147=0,32,IFERROR(RANK(Valor_normalizado!S147,Valor_normalizado!S$130:S$161,0),"NA"))</f>
        <v>15</v>
      </c>
      <c r="T142" s="66">
        <f>IF(Valor_normalizado!T147=0,32,IFERROR(RANK(Valor_normalizado!T147,Valor_normalizado!T$130:T$161,0),"NA"))</f>
        <v>12</v>
      </c>
      <c r="U142" s="66">
        <f>IF(Valor_normalizado!U147=0,32,IFERROR(RANK(Valor_normalizado!U147,Valor_normalizado!U$130:U$161,0),"NA"))</f>
        <v>18</v>
      </c>
      <c r="V142" s="66">
        <f>IF(Valor_normalizado!V147=0,32,IFERROR(RANK(Valor_normalizado!V147,Valor_normalizado!V$130:V$161,0),"NA"))</f>
        <v>25</v>
      </c>
      <c r="W142" s="66">
        <f>IF(Valor_normalizado!W147=0,32,IFERROR(RANK(Valor_normalizado!W147,Valor_normalizado!W$130:W$161,0),"NA"))</f>
        <v>17</v>
      </c>
      <c r="X142" s="66">
        <f>IF(Valor_normalizado!X147=0,32,IFERROR(RANK(Valor_normalizado!X147,Valor_normalizado!X$130:X$161,0),"NA"))</f>
        <v>18</v>
      </c>
      <c r="Y142" s="66">
        <f>IF(Valor_normalizado!Y147=0,32,IFERROR(RANK(Valor_normalizado!Y147,Valor_normalizado!Y$130:Y$161,0),"NA"))</f>
        <v>24</v>
      </c>
    </row>
    <row r="143" ht="14.25" hidden="1" customHeight="1">
      <c r="A143" s="49" t="s">
        <v>317</v>
      </c>
      <c r="B143" s="23">
        <v>2023.0</v>
      </c>
      <c r="C143" s="66">
        <f>IF(Valor_normalizado!C160=0,32,IFERROR(RANK(Valor_normalizado!C160,Valor_normalizado!C$130:C$161,0),"NA"))</f>
        <v>29</v>
      </c>
      <c r="D143" s="66">
        <f>IF(Valor_normalizado!D160=0,32,IFERROR(RANK(Valor_normalizado!D160,Valor_normalizado!D$130:D$161,0),"NA"))</f>
        <v>26</v>
      </c>
      <c r="E143" s="66">
        <f>IF(Valor_normalizado!E160=0,32,IFERROR(RANK(Valor_normalizado!E160,Valor_normalizado!E$130:E$161,0),"NA"))</f>
        <v>19</v>
      </c>
      <c r="F143" s="66">
        <f>IF(Valor_normalizado!F160=0,32,IFERROR(RANK(Valor_normalizado!F160,Valor_normalizado!F$130:F$161,0),"NA"))</f>
        <v>26</v>
      </c>
      <c r="G143" s="66">
        <f>IF(Valor_normalizado!G160=0,32,IFERROR(RANK(Valor_normalizado!G160,Valor_normalizado!G$130:G$161,0),"NA"))</f>
        <v>27</v>
      </c>
      <c r="H143" s="66">
        <f>IF(Valor_normalizado!H160=0,32,IFERROR(RANK(Valor_normalizado!H160,Valor_normalizado!H$130:H$161,0),"NA"))</f>
        <v>26</v>
      </c>
      <c r="I143" s="66">
        <f>IF(Valor_normalizado!I160=0,32,IFERROR(RANK(Valor_normalizado!I160,Valor_normalizado!I$130:I$161,0),"NA"))</f>
        <v>28</v>
      </c>
      <c r="J143" s="66">
        <f>IF(Valor_normalizado!J160=0,32,IFERROR(RANK(Valor_normalizado!J160,Valor_normalizado!J$130:J$161,0),"NA"))</f>
        <v>9</v>
      </c>
      <c r="K143" s="66">
        <f>IF(Valor_normalizado!K160=0,32,IFERROR(RANK(Valor_normalizado!K160,Valor_normalizado!K$130:K$161,0),"NA"))</f>
        <v>21</v>
      </c>
      <c r="L143" s="66">
        <f>IF(Valor_normalizado!L160=0,32,IFERROR(RANK(Valor_normalizado!L160,Valor_normalizado!L$130:L$161,0),"NA"))</f>
        <v>26</v>
      </c>
      <c r="M143" s="66">
        <f>IF(Valor_normalizado!M160=0,32,IFERROR(RANK(Valor_normalizado!M160,Valor_normalizado!M$130:M$161,0),"NA"))</f>
        <v>32</v>
      </c>
      <c r="N143" s="66">
        <f>IF(Valor_normalizado!N160=0,32,IFERROR(RANK(Valor_normalizado!N160,Valor_normalizado!N$130:N$161,0),"NA"))</f>
        <v>32</v>
      </c>
      <c r="O143" s="66">
        <f>IF(Valor_normalizado!O160=0,32,IFERROR(RANK(Valor_normalizado!O160,Valor_normalizado!O$130:O$161,0),"NA"))</f>
        <v>28</v>
      </c>
      <c r="P143" s="66">
        <f>IF(Valor_normalizado!P160=0,32,IFERROR(RANK(Valor_normalizado!P160,Valor_normalizado!P$130:P$161,0),"NA"))</f>
        <v>32</v>
      </c>
      <c r="Q143" s="66">
        <f>IF(Valor_normalizado!Q160=0,32,IFERROR(RANK(Valor_normalizado!Q160,Valor_normalizado!Q$130:Q$161,0),"NA"))</f>
        <v>32</v>
      </c>
      <c r="R143" s="66">
        <f>IF(Valor_normalizado!R160=0,32,IFERROR(RANK(Valor_normalizado!R160,Valor_normalizado!R$130:R$161,0),"NA"))</f>
        <v>29</v>
      </c>
      <c r="S143" s="66">
        <f>IF(Valor_normalizado!S160=0,32,IFERROR(RANK(Valor_normalizado!S160,Valor_normalizado!S$130:S$161,0),"NA"))</f>
        <v>32</v>
      </c>
      <c r="T143" s="66">
        <f>IF(Valor_normalizado!T160=0,32,IFERROR(RANK(Valor_normalizado!T160,Valor_normalizado!T$130:T$161,0),"NA"))</f>
        <v>32</v>
      </c>
      <c r="U143" s="66">
        <f>IF(Valor_normalizado!U160=0,32,IFERROR(RANK(Valor_normalizado!U160,Valor_normalizado!U$130:U$161,0),"NA"))</f>
        <v>32</v>
      </c>
      <c r="V143" s="66">
        <f>IF(Valor_normalizado!V160=0,32,IFERROR(RANK(Valor_normalizado!V160,Valor_normalizado!V$130:V$161,0),"NA"))</f>
        <v>32</v>
      </c>
      <c r="W143" s="66">
        <f>IF(Valor_normalizado!W160=0,32,IFERROR(RANK(Valor_normalizado!W160,Valor_normalizado!W$130:W$161,0),"NA"))</f>
        <v>32</v>
      </c>
      <c r="X143" s="66">
        <f>IF(Valor_normalizado!X160=0,32,IFERROR(RANK(Valor_normalizado!X160,Valor_normalizado!X$130:X$161,0),"NA"))</f>
        <v>31</v>
      </c>
      <c r="Y143" s="66">
        <f>IF(Valor_normalizado!Y160=0,32,IFERROR(RANK(Valor_normalizado!Y160,Valor_normalizado!Y$130:Y$161,0),"NA"))</f>
        <v>28</v>
      </c>
    </row>
    <row r="144" ht="14.25" hidden="1" customHeight="1">
      <c r="A144" s="49" t="s">
        <v>318</v>
      </c>
      <c r="B144" s="23">
        <v>2023.0</v>
      </c>
      <c r="C144" s="66">
        <f>IF(Valor_normalizado!C136=0,32,IFERROR(RANK(Valor_normalizado!C136,Valor_normalizado!C$130:C$161,0),"NA"))</f>
        <v>13</v>
      </c>
      <c r="D144" s="66">
        <f>IF(Valor_normalizado!D136=0,32,IFERROR(RANK(Valor_normalizado!D136,Valor_normalizado!D$130:D$161,0),"NA"))</f>
        <v>18</v>
      </c>
      <c r="E144" s="66">
        <f>IF(Valor_normalizado!E136=0,32,IFERROR(RANK(Valor_normalizado!E136,Valor_normalizado!E$130:E$161,0),"NA"))</f>
        <v>12</v>
      </c>
      <c r="F144" s="66">
        <f>IF(Valor_normalizado!F136=0,32,IFERROR(RANK(Valor_normalizado!F136,Valor_normalizado!F$130:F$161,0),"NA"))</f>
        <v>14</v>
      </c>
      <c r="G144" s="66">
        <f>IF(Valor_normalizado!G136=0,32,IFERROR(RANK(Valor_normalizado!G136,Valor_normalizado!G$130:G$161,0),"NA"))</f>
        <v>14</v>
      </c>
      <c r="H144" s="66">
        <f>IF(Valor_normalizado!H136=0,32,IFERROR(RANK(Valor_normalizado!H136,Valor_normalizado!H$130:H$161,0),"NA"))</f>
        <v>3</v>
      </c>
      <c r="I144" s="66">
        <f>IF(Valor_normalizado!I136=0,32,IFERROR(RANK(Valor_normalizado!I136,Valor_normalizado!I$130:I$161,0),"NA"))</f>
        <v>5</v>
      </c>
      <c r="J144" s="66">
        <f>IF(Valor_normalizado!J136=0,32,IFERROR(RANK(Valor_normalizado!J136,Valor_normalizado!J$130:J$161,0),"NA"))</f>
        <v>11</v>
      </c>
      <c r="K144" s="66">
        <f>IF(Valor_normalizado!K136=0,32,IFERROR(RANK(Valor_normalizado!K136,Valor_normalizado!K$130:K$161,0),"NA"))</f>
        <v>4</v>
      </c>
      <c r="L144" s="66">
        <f>IF(Valor_normalizado!L136=0,32,IFERROR(RANK(Valor_normalizado!L136,Valor_normalizado!L$130:L$161,0),"NA"))</f>
        <v>8</v>
      </c>
      <c r="M144" s="66">
        <f>IF(Valor_normalizado!M136=0,32,IFERROR(RANK(Valor_normalizado!M136,Valor_normalizado!M$130:M$161,0),"NA"))</f>
        <v>6</v>
      </c>
      <c r="N144" s="66">
        <f>IF(Valor_normalizado!N136=0,32,IFERROR(RANK(Valor_normalizado!N136,Valor_normalizado!N$130:N$161,0),"NA"))</f>
        <v>12</v>
      </c>
      <c r="O144" s="66">
        <f>IF(Valor_normalizado!O136=0,32,IFERROR(RANK(Valor_normalizado!O136,Valor_normalizado!O$130:O$161,0),"NA"))</f>
        <v>3</v>
      </c>
      <c r="P144" s="66">
        <f>IF(Valor_normalizado!P136=0,32,IFERROR(RANK(Valor_normalizado!P136,Valor_normalizado!P$130:P$161,0),"NA"))</f>
        <v>6</v>
      </c>
      <c r="Q144" s="66">
        <f>IF(Valor_normalizado!Q136=0,32,IFERROR(RANK(Valor_normalizado!Q136,Valor_normalizado!Q$130:Q$161,0),"NA"))</f>
        <v>7</v>
      </c>
      <c r="R144" s="66">
        <f>IF(Valor_normalizado!R136=0,32,IFERROR(RANK(Valor_normalizado!R136,Valor_normalizado!R$130:R$161,0),"NA"))</f>
        <v>6</v>
      </c>
      <c r="S144" s="66">
        <f>IF(Valor_normalizado!S136=0,32,IFERROR(RANK(Valor_normalizado!S136,Valor_normalizado!S$130:S$161,0),"NA"))</f>
        <v>7</v>
      </c>
      <c r="T144" s="66">
        <f>IF(Valor_normalizado!T136=0,32,IFERROR(RANK(Valor_normalizado!T136,Valor_normalizado!T$130:T$161,0),"NA"))</f>
        <v>5</v>
      </c>
      <c r="U144" s="66">
        <f>IF(Valor_normalizado!U136=0,32,IFERROR(RANK(Valor_normalizado!U136,Valor_normalizado!U$130:U$161,0),"NA"))</f>
        <v>12</v>
      </c>
      <c r="V144" s="66">
        <f>IF(Valor_normalizado!V136=0,32,IFERROR(RANK(Valor_normalizado!V136,Valor_normalizado!V$130:V$161,0),"NA"))</f>
        <v>17</v>
      </c>
      <c r="W144" s="66">
        <f>IF(Valor_normalizado!W136=0,32,IFERROR(RANK(Valor_normalizado!W136,Valor_normalizado!W$130:W$161,0),"NA"))</f>
        <v>9</v>
      </c>
      <c r="X144" s="66">
        <f>IF(Valor_normalizado!X136=0,32,IFERROR(RANK(Valor_normalizado!X136,Valor_normalizado!X$130:X$161,0),"NA"))</f>
        <v>7</v>
      </c>
      <c r="Y144" s="66">
        <f>IF(Valor_normalizado!Y136=0,32,IFERROR(RANK(Valor_normalizado!Y136,Valor_normalizado!Y$130:Y$161,0),"NA"))</f>
        <v>9</v>
      </c>
    </row>
    <row r="145" ht="14.25" hidden="1" customHeight="1">
      <c r="A145" s="51" t="s">
        <v>324</v>
      </c>
      <c r="B145" s="23">
        <v>2023.0</v>
      </c>
      <c r="C145" s="66">
        <f>IF(Valor_normalizado!C137=0,32,IFERROR(RANK(Valor_normalizado!C137,Valor_normalizado!C$130:C$161,0),"NA"))</f>
        <v>9</v>
      </c>
      <c r="D145" s="66">
        <f>IF(Valor_normalizado!D137=0,32,IFERROR(RANK(Valor_normalizado!D137,Valor_normalizado!D$130:D$161,0),"NA"))</f>
        <v>6</v>
      </c>
      <c r="E145" s="66">
        <f>IF(Valor_normalizado!E137=0,32,IFERROR(RANK(Valor_normalizado!E137,Valor_normalizado!E$130:E$161,0),"NA"))</f>
        <v>4</v>
      </c>
      <c r="F145" s="66">
        <f>IF(Valor_normalizado!F137=0,32,IFERROR(RANK(Valor_normalizado!F137,Valor_normalizado!F$130:F$161,0),"NA"))</f>
        <v>3</v>
      </c>
      <c r="G145" s="66">
        <f>IF(Valor_normalizado!G137=0,32,IFERROR(RANK(Valor_normalizado!G137,Valor_normalizado!G$130:G$161,0),"NA"))</f>
        <v>4</v>
      </c>
      <c r="H145" s="66">
        <f>IF(Valor_normalizado!H137=0,32,IFERROR(RANK(Valor_normalizado!H137,Valor_normalizado!H$130:H$161,0),"NA"))</f>
        <v>16</v>
      </c>
      <c r="I145" s="66">
        <f>IF(Valor_normalizado!I137=0,32,IFERROR(RANK(Valor_normalizado!I137,Valor_normalizado!I$130:I$161,0),"NA"))</f>
        <v>16</v>
      </c>
      <c r="J145" s="66">
        <f>IF(Valor_normalizado!J137=0,32,IFERROR(RANK(Valor_normalizado!J137,Valor_normalizado!J$130:J$161,0),"NA"))</f>
        <v>10</v>
      </c>
      <c r="K145" s="66">
        <f>IF(Valor_normalizado!K137=0,32,IFERROR(RANK(Valor_normalizado!K137,Valor_normalizado!K$130:K$161,0),"NA"))</f>
        <v>13</v>
      </c>
      <c r="L145" s="66">
        <f>IF(Valor_normalizado!L137=0,32,IFERROR(RANK(Valor_normalizado!L137,Valor_normalizado!L$130:L$161,0),"NA"))</f>
        <v>10</v>
      </c>
      <c r="M145" s="66">
        <f>IF(Valor_normalizado!M137=0,32,IFERROR(RANK(Valor_normalizado!M137,Valor_normalizado!M$130:M$161,0),"NA"))</f>
        <v>9</v>
      </c>
      <c r="N145" s="66">
        <f>IF(Valor_normalizado!N137=0,32,IFERROR(RANK(Valor_normalizado!N137,Valor_normalizado!N$130:N$161,0),"NA"))</f>
        <v>8</v>
      </c>
      <c r="O145" s="66">
        <f>IF(Valor_normalizado!O137=0,32,IFERROR(RANK(Valor_normalizado!O137,Valor_normalizado!O$130:O$161,0),"NA"))</f>
        <v>10</v>
      </c>
      <c r="P145" s="66">
        <f>IF(Valor_normalizado!P137=0,32,IFERROR(RANK(Valor_normalizado!P137,Valor_normalizado!P$130:P$161,0),"NA"))</f>
        <v>3</v>
      </c>
      <c r="Q145" s="66">
        <f>IF(Valor_normalizado!Q137=0,32,IFERROR(RANK(Valor_normalizado!Q137,Valor_normalizado!Q$130:Q$161,0),"NA"))</f>
        <v>6</v>
      </c>
      <c r="R145" s="66">
        <f>IF(Valor_normalizado!R137=0,32,IFERROR(RANK(Valor_normalizado!R137,Valor_normalizado!R$130:R$161,0),"NA"))</f>
        <v>7</v>
      </c>
      <c r="S145" s="66">
        <f>IF(Valor_normalizado!S137=0,32,IFERROR(RANK(Valor_normalizado!S137,Valor_normalizado!S$130:S$161,0),"NA"))</f>
        <v>14</v>
      </c>
      <c r="T145" s="66">
        <f>IF(Valor_normalizado!T137=0,32,IFERROR(RANK(Valor_normalizado!T137,Valor_normalizado!T$130:T$161,0),"NA"))</f>
        <v>14</v>
      </c>
      <c r="U145" s="66">
        <f>IF(Valor_normalizado!U137=0,32,IFERROR(RANK(Valor_normalizado!U137,Valor_normalizado!U$130:U$161,0),"NA"))</f>
        <v>8</v>
      </c>
      <c r="V145" s="66">
        <f>IF(Valor_normalizado!V137=0,32,IFERROR(RANK(Valor_normalizado!V137,Valor_normalizado!V$130:V$161,0),"NA"))</f>
        <v>3</v>
      </c>
      <c r="W145" s="66">
        <f>IF(Valor_normalizado!W137=0,32,IFERROR(RANK(Valor_normalizado!W137,Valor_normalizado!W$130:W$161,0),"NA"))</f>
        <v>8</v>
      </c>
      <c r="X145" s="66">
        <f>IF(Valor_normalizado!X137=0,32,IFERROR(RANK(Valor_normalizado!X137,Valor_normalizado!X$130:X$161,0),"NA"))</f>
        <v>8</v>
      </c>
      <c r="Y145" s="66">
        <f>IF(Valor_normalizado!Y137=0,32,IFERROR(RANK(Valor_normalizado!Y137,Valor_normalizado!Y$130:Y$161,0),"NA"))</f>
        <v>4</v>
      </c>
    </row>
    <row r="146" ht="14.25" hidden="1" customHeight="1">
      <c r="A146" s="49" t="s">
        <v>319</v>
      </c>
      <c r="B146" s="23">
        <v>2023.0</v>
      </c>
      <c r="C146" s="66">
        <f>IF(Valor_normalizado!C156=0,32,IFERROR(RANK(Valor_normalizado!C156,Valor_normalizado!C$130:C$161,0),"NA"))</f>
        <v>19</v>
      </c>
      <c r="D146" s="66">
        <f>IF(Valor_normalizado!D156=0,32,IFERROR(RANK(Valor_normalizado!D156,Valor_normalizado!D$130:D$161,0),"NA"))</f>
        <v>24</v>
      </c>
      <c r="E146" s="66">
        <f>IF(Valor_normalizado!E156=0,32,IFERROR(RANK(Valor_normalizado!E156,Valor_normalizado!E$130:E$161,0),"NA"))</f>
        <v>18</v>
      </c>
      <c r="F146" s="66">
        <f>IF(Valor_normalizado!F156=0,32,IFERROR(RANK(Valor_normalizado!F156,Valor_normalizado!F$130:F$161,0),"NA"))</f>
        <v>20</v>
      </c>
      <c r="G146" s="66">
        <f>IF(Valor_normalizado!G156=0,32,IFERROR(RANK(Valor_normalizado!G156,Valor_normalizado!G$130:G$161,0),"NA"))</f>
        <v>22</v>
      </c>
      <c r="H146" s="66">
        <f>IF(Valor_normalizado!H156=0,32,IFERROR(RANK(Valor_normalizado!H156,Valor_normalizado!H$130:H$161,0),"NA"))</f>
        <v>15</v>
      </c>
      <c r="I146" s="66">
        <f>IF(Valor_normalizado!I156=0,32,IFERROR(RANK(Valor_normalizado!I156,Valor_normalizado!I$130:I$161,0),"NA"))</f>
        <v>26</v>
      </c>
      <c r="J146" s="66">
        <f>IF(Valor_normalizado!J156=0,32,IFERROR(RANK(Valor_normalizado!J156,Valor_normalizado!J$130:J$161,0),"NA"))</f>
        <v>5</v>
      </c>
      <c r="K146" s="66">
        <f>IF(Valor_normalizado!K156=0,32,IFERROR(RANK(Valor_normalizado!K156,Valor_normalizado!K$130:K$161,0),"NA"))</f>
        <v>12</v>
      </c>
      <c r="L146" s="66">
        <f>IF(Valor_normalizado!L156=0,32,IFERROR(RANK(Valor_normalizado!L156,Valor_normalizado!L$130:L$161,0),"NA"))</f>
        <v>19</v>
      </c>
      <c r="M146" s="66">
        <f>IF(Valor_normalizado!M156=0,32,IFERROR(RANK(Valor_normalizado!M156,Valor_normalizado!M$130:M$161,0),"NA"))</f>
        <v>19</v>
      </c>
      <c r="N146" s="66">
        <f>IF(Valor_normalizado!N156=0,32,IFERROR(RANK(Valor_normalizado!N156,Valor_normalizado!N$130:N$161,0),"NA"))</f>
        <v>32</v>
      </c>
      <c r="O146" s="66">
        <f>IF(Valor_normalizado!O156=0,32,IFERROR(RANK(Valor_normalizado!O156,Valor_normalizado!O$130:O$161,0),"NA"))</f>
        <v>20</v>
      </c>
      <c r="P146" s="66">
        <f>IF(Valor_normalizado!P156=0,32,IFERROR(RANK(Valor_normalizado!P156,Valor_normalizado!P$130:P$161,0),"NA"))</f>
        <v>19</v>
      </c>
      <c r="Q146" s="66">
        <f>IF(Valor_normalizado!Q156=0,32,IFERROR(RANK(Valor_normalizado!Q156,Valor_normalizado!Q$130:Q$161,0),"NA"))</f>
        <v>24</v>
      </c>
      <c r="R146" s="66">
        <f>IF(Valor_normalizado!R156=0,32,IFERROR(RANK(Valor_normalizado!R156,Valor_normalizado!R$130:R$161,0),"NA"))</f>
        <v>22</v>
      </c>
      <c r="S146" s="66">
        <f>IF(Valor_normalizado!S156=0,32,IFERROR(RANK(Valor_normalizado!S156,Valor_normalizado!S$130:S$161,0),"NA"))</f>
        <v>32</v>
      </c>
      <c r="T146" s="66">
        <f>IF(Valor_normalizado!T156=0,32,IFERROR(RANK(Valor_normalizado!T156,Valor_normalizado!T$130:T$161,0),"NA"))</f>
        <v>32</v>
      </c>
      <c r="U146" s="66">
        <f>IF(Valor_normalizado!U156=0,32,IFERROR(RANK(Valor_normalizado!U156,Valor_normalizado!U$130:U$161,0),"NA"))</f>
        <v>32</v>
      </c>
      <c r="V146" s="66">
        <f>IF(Valor_normalizado!V156=0,32,IFERROR(RANK(Valor_normalizado!V156,Valor_normalizado!V$130:V$161,0),"NA"))</f>
        <v>27</v>
      </c>
      <c r="W146" s="66">
        <f>IF(Valor_normalizado!W156=0,32,IFERROR(RANK(Valor_normalizado!W156,Valor_normalizado!W$130:W$161,0),"NA"))</f>
        <v>28</v>
      </c>
      <c r="X146" s="66">
        <f>IF(Valor_normalizado!X156=0,32,IFERROR(RANK(Valor_normalizado!X156,Valor_normalizado!X$130:X$161,0),"NA"))</f>
        <v>27</v>
      </c>
      <c r="Y146" s="66">
        <f>IF(Valor_normalizado!Y156=0,32,IFERROR(RANK(Valor_normalizado!Y156,Valor_normalizado!Y$130:Y$161,0),"NA"))</f>
        <v>23</v>
      </c>
    </row>
    <row r="147" ht="14.25" hidden="1" customHeight="1">
      <c r="A147" s="51" t="s">
        <v>322</v>
      </c>
      <c r="B147" s="23">
        <v>2023.0</v>
      </c>
      <c r="C147" s="66">
        <f>IF(Valor_normalizado!C161=0,32,IFERROR(RANK(Valor_normalizado!C161,Valor_normalizado!C$130:C$161,0),"NA"))</f>
        <v>28</v>
      </c>
      <c r="D147" s="66">
        <f>IF(Valor_normalizado!D161=0,32,IFERROR(RANK(Valor_normalizado!D161,Valor_normalizado!D$130:D$161,0),"NA"))</f>
        <v>31</v>
      </c>
      <c r="E147" s="66">
        <f>IF(Valor_normalizado!E161=0,32,IFERROR(RANK(Valor_normalizado!E161,Valor_normalizado!E$130:E$161,0),"NA"))</f>
        <v>32</v>
      </c>
      <c r="F147" s="66">
        <f>IF(Valor_normalizado!F161=0,32,IFERROR(RANK(Valor_normalizado!F161,Valor_normalizado!F$130:F$161,0),"NA"))</f>
        <v>32</v>
      </c>
      <c r="G147" s="66">
        <f>IF(Valor_normalizado!G161=0,32,IFERROR(RANK(Valor_normalizado!G161,Valor_normalizado!G$130:G$161,0),"NA"))</f>
        <v>32</v>
      </c>
      <c r="H147" s="66">
        <f>IF(Valor_normalizado!H161=0,32,IFERROR(RANK(Valor_normalizado!H161,Valor_normalizado!H$130:H$161,0),"NA"))</f>
        <v>27</v>
      </c>
      <c r="I147" s="66">
        <f>IF(Valor_normalizado!I161=0,32,IFERROR(RANK(Valor_normalizado!I161,Valor_normalizado!I$130:I$161,0),"NA"))</f>
        <v>25</v>
      </c>
      <c r="J147" s="66">
        <f>IF(Valor_normalizado!J161=0,32,IFERROR(RANK(Valor_normalizado!J161,Valor_normalizado!J$130:J$161,0),"NA"))</f>
        <v>22</v>
      </c>
      <c r="K147" s="66">
        <f>IF(Valor_normalizado!K161=0,32,IFERROR(RANK(Valor_normalizado!K161,Valor_normalizado!K$130:K$161,0),"NA"))</f>
        <v>27</v>
      </c>
      <c r="L147" s="66">
        <f>IF(Valor_normalizado!L161=0,32,IFERROR(RANK(Valor_normalizado!L161,Valor_normalizado!L$130:L$161,0),"NA"))</f>
        <v>30</v>
      </c>
      <c r="M147" s="66">
        <f>IF(Valor_normalizado!M161=0,32,IFERROR(RANK(Valor_normalizado!M161,Valor_normalizado!M$130:M$161,0),"NA"))</f>
        <v>32</v>
      </c>
      <c r="N147" s="66">
        <f>IF(Valor_normalizado!N161=0,32,IFERROR(RANK(Valor_normalizado!N161,Valor_normalizado!N$130:N$161,0),"NA"))</f>
        <v>32</v>
      </c>
      <c r="O147" s="66">
        <f>IF(Valor_normalizado!O161=0,32,IFERROR(RANK(Valor_normalizado!O161,Valor_normalizado!O$130:O$161,0),"NA"))</f>
        <v>32</v>
      </c>
      <c r="P147" s="66">
        <f>IF(Valor_normalizado!P161=0,32,IFERROR(RANK(Valor_normalizado!P161,Valor_normalizado!P$130:P$161,0),"NA"))</f>
        <v>32</v>
      </c>
      <c r="Q147" s="66">
        <f>IF(Valor_normalizado!Q161=0,32,IFERROR(RANK(Valor_normalizado!Q161,Valor_normalizado!Q$130:Q$161,0),"NA"))</f>
        <v>32</v>
      </c>
      <c r="R147" s="66">
        <f>IF(Valor_normalizado!R161=0,32,IFERROR(RANK(Valor_normalizado!R161,Valor_normalizado!R$130:R$161,0),"NA"))</f>
        <v>32</v>
      </c>
      <c r="S147" s="66">
        <f>IF(Valor_normalizado!S161=0,32,IFERROR(RANK(Valor_normalizado!S161,Valor_normalizado!S$130:S$161,0),"NA"))</f>
        <v>32</v>
      </c>
      <c r="T147" s="66">
        <f>IF(Valor_normalizado!T161=0,32,IFERROR(RANK(Valor_normalizado!T161,Valor_normalizado!T$130:T$161,0),"NA"))</f>
        <v>32</v>
      </c>
      <c r="U147" s="66">
        <f>IF(Valor_normalizado!U161=0,32,IFERROR(RANK(Valor_normalizado!U161,Valor_normalizado!U$130:U$161,0),"NA"))</f>
        <v>32</v>
      </c>
      <c r="V147" s="66">
        <f>IF(Valor_normalizado!V161=0,32,IFERROR(RANK(Valor_normalizado!V161,Valor_normalizado!V$130:V$161,0),"NA"))</f>
        <v>30</v>
      </c>
      <c r="W147" s="66">
        <f>IF(Valor_normalizado!W161=0,32,IFERROR(RANK(Valor_normalizado!W161,Valor_normalizado!W$130:W$161,0),"NA"))</f>
        <v>30</v>
      </c>
      <c r="X147" s="66">
        <f>IF(Valor_normalizado!X161=0,32,IFERROR(RANK(Valor_normalizado!X161,Valor_normalizado!X$130:X$161,0),"NA"))</f>
        <v>32</v>
      </c>
      <c r="Y147" s="66">
        <f>IF(Valor_normalizado!Y161=0,32,IFERROR(RANK(Valor_normalizado!Y161,Valor_normalizado!Y$130:Y$161,0),"NA"))</f>
        <v>30</v>
      </c>
    </row>
    <row r="148" ht="14.25" hidden="1" customHeight="1">
      <c r="A148" s="49" t="s">
        <v>327</v>
      </c>
      <c r="B148" s="23">
        <v>2023.0</v>
      </c>
      <c r="C148" s="66">
        <f>IF(Valor_normalizado!C138=0,32,IFERROR(RANK(Valor_normalizado!C138,Valor_normalizado!C$130:C$161,0),"NA"))</f>
        <v>8</v>
      </c>
      <c r="D148" s="66">
        <f>IF(Valor_normalizado!D138=0,32,IFERROR(RANK(Valor_normalizado!D138,Valor_normalizado!D$130:D$161,0),"NA"))</f>
        <v>12</v>
      </c>
      <c r="E148" s="66">
        <f>IF(Valor_normalizado!E138=0,32,IFERROR(RANK(Valor_normalizado!E138,Valor_normalizado!E$130:E$161,0),"NA"))</f>
        <v>7</v>
      </c>
      <c r="F148" s="66">
        <f>IF(Valor_normalizado!F138=0,32,IFERROR(RANK(Valor_normalizado!F138,Valor_normalizado!F$130:F$161,0),"NA"))</f>
        <v>9</v>
      </c>
      <c r="G148" s="66">
        <f>IF(Valor_normalizado!G138=0,32,IFERROR(RANK(Valor_normalizado!G138,Valor_normalizado!G$130:G$161,0),"NA"))</f>
        <v>8</v>
      </c>
      <c r="H148" s="66">
        <f>IF(Valor_normalizado!H138=0,32,IFERROR(RANK(Valor_normalizado!H138,Valor_normalizado!H$130:H$161,0),"NA"))</f>
        <v>5</v>
      </c>
      <c r="I148" s="66">
        <f>IF(Valor_normalizado!I138=0,32,IFERROR(RANK(Valor_normalizado!I138,Valor_normalizado!I$130:I$161,0),"NA"))</f>
        <v>4</v>
      </c>
      <c r="J148" s="66">
        <f>IF(Valor_normalizado!J138=0,32,IFERROR(RANK(Valor_normalizado!J138,Valor_normalizado!J$130:J$161,0),"NA"))</f>
        <v>14</v>
      </c>
      <c r="K148" s="66">
        <f>IF(Valor_normalizado!K138=0,32,IFERROR(RANK(Valor_normalizado!K138,Valor_normalizado!K$130:K$161,0),"NA"))</f>
        <v>5</v>
      </c>
      <c r="L148" s="66">
        <f>IF(Valor_normalizado!L138=0,32,IFERROR(RANK(Valor_normalizado!L138,Valor_normalizado!L$130:L$161,0),"NA"))</f>
        <v>5</v>
      </c>
      <c r="M148" s="66">
        <f>IF(Valor_normalizado!M138=0,32,IFERROR(RANK(Valor_normalizado!M138,Valor_normalizado!M$130:M$161,0),"NA"))</f>
        <v>11</v>
      </c>
      <c r="N148" s="66">
        <f>IF(Valor_normalizado!N138=0,32,IFERROR(RANK(Valor_normalizado!N138,Valor_normalizado!N$130:N$161,0),"NA"))</f>
        <v>11</v>
      </c>
      <c r="O148" s="66">
        <f>IF(Valor_normalizado!O138=0,32,IFERROR(RANK(Valor_normalizado!O138,Valor_normalizado!O$130:O$161,0),"NA"))</f>
        <v>13</v>
      </c>
      <c r="P148" s="66">
        <f>IF(Valor_normalizado!P138=0,32,IFERROR(RANK(Valor_normalizado!P138,Valor_normalizado!P$130:P$161,0),"NA"))</f>
        <v>10</v>
      </c>
      <c r="Q148" s="66">
        <f>IF(Valor_normalizado!Q138=0,32,IFERROR(RANK(Valor_normalizado!Q138,Valor_normalizado!Q$130:Q$161,0),"NA"))</f>
        <v>4</v>
      </c>
      <c r="R148" s="66">
        <f>IF(Valor_normalizado!R138=0,32,IFERROR(RANK(Valor_normalizado!R138,Valor_normalizado!R$130:R$161,0),"NA"))</f>
        <v>9</v>
      </c>
      <c r="S148" s="66">
        <f>IF(Valor_normalizado!S138=0,32,IFERROR(RANK(Valor_normalizado!S138,Valor_normalizado!S$130:S$161,0),"NA"))</f>
        <v>11</v>
      </c>
      <c r="T148" s="66">
        <f>IF(Valor_normalizado!T138=0,32,IFERROR(RANK(Valor_normalizado!T138,Valor_normalizado!T$130:T$161,0),"NA"))</f>
        <v>9</v>
      </c>
      <c r="U148" s="66">
        <f>IF(Valor_normalizado!U138=0,32,IFERROR(RANK(Valor_normalizado!U138,Valor_normalizado!U$130:U$161,0),"NA"))</f>
        <v>4</v>
      </c>
      <c r="V148" s="66">
        <f>IF(Valor_normalizado!V138=0,32,IFERROR(RANK(Valor_normalizado!V138,Valor_normalizado!V$130:V$161,0),"NA"))</f>
        <v>4</v>
      </c>
      <c r="W148" s="66">
        <f>IF(Valor_normalizado!W138=0,32,IFERROR(RANK(Valor_normalizado!W138,Valor_normalizado!W$130:W$161,0),"NA"))</f>
        <v>7</v>
      </c>
      <c r="X148" s="66">
        <f>IF(Valor_normalizado!X138=0,32,IFERROR(RANK(Valor_normalizado!X138,Valor_normalizado!X$130:X$161,0),"NA"))</f>
        <v>9</v>
      </c>
      <c r="Y148" s="66">
        <f>IF(Valor_normalizado!Y138=0,32,IFERROR(RANK(Valor_normalizado!Y138,Valor_normalizado!Y$130:Y$161,0),"NA"))</f>
        <v>7</v>
      </c>
    </row>
    <row r="149" ht="14.25" hidden="1" customHeight="1">
      <c r="A149" s="51" t="s">
        <v>321</v>
      </c>
      <c r="B149" s="23">
        <v>2023.0</v>
      </c>
      <c r="C149" s="66">
        <f>IF(Valor_normalizado!C159=0,32,IFERROR(RANK(Valor_normalizado!C159,Valor_normalizado!C$130:C$161,0),"NA"))</f>
        <v>32</v>
      </c>
      <c r="D149" s="66">
        <f>IF(Valor_normalizado!D159=0,32,IFERROR(RANK(Valor_normalizado!D159,Valor_normalizado!D$130:D$161,0),"NA"))</f>
        <v>25</v>
      </c>
      <c r="E149" s="66">
        <f>IF(Valor_normalizado!E159=0,32,IFERROR(RANK(Valor_normalizado!E159,Valor_normalizado!E$130:E$161,0),"NA"))</f>
        <v>22</v>
      </c>
      <c r="F149" s="66">
        <f>IF(Valor_normalizado!F159=0,32,IFERROR(RANK(Valor_normalizado!F159,Valor_normalizado!F$130:F$161,0),"NA"))</f>
        <v>31</v>
      </c>
      <c r="G149" s="66">
        <f>IF(Valor_normalizado!G159=0,32,IFERROR(RANK(Valor_normalizado!G159,Valor_normalizado!G$130:G$161,0),"NA"))</f>
        <v>29</v>
      </c>
      <c r="H149" s="66">
        <f>IF(Valor_normalizado!H159=0,32,IFERROR(RANK(Valor_normalizado!H159,Valor_normalizado!H$130:H$161,0),"NA"))</f>
        <v>32</v>
      </c>
      <c r="I149" s="66">
        <f>IF(Valor_normalizado!I159=0,32,IFERROR(RANK(Valor_normalizado!I159,Valor_normalizado!I$130:I$161,0),"NA"))</f>
        <v>32</v>
      </c>
      <c r="J149" s="66">
        <f>IF(Valor_normalizado!J159=0,32,IFERROR(RANK(Valor_normalizado!J159,Valor_normalizado!J$130:J$161,0),"NA"))</f>
        <v>32</v>
      </c>
      <c r="K149" s="66">
        <f>IF(Valor_normalizado!K159=0,32,IFERROR(RANK(Valor_normalizado!K159,Valor_normalizado!K$130:K$161,0),"NA"))</f>
        <v>32</v>
      </c>
      <c r="L149" s="66">
        <f>IF(Valor_normalizado!L159=0,32,IFERROR(RANK(Valor_normalizado!L159,Valor_normalizado!L$130:L$161,0),"NA"))</f>
        <v>32</v>
      </c>
      <c r="M149" s="66">
        <f>IF(Valor_normalizado!M159=0,32,IFERROR(RANK(Valor_normalizado!M159,Valor_normalizado!M$130:M$161,0),"NA"))</f>
        <v>32</v>
      </c>
      <c r="N149" s="66">
        <f>IF(Valor_normalizado!N159=0,32,IFERROR(RANK(Valor_normalizado!N159,Valor_normalizado!N$130:N$161,0),"NA"))</f>
        <v>32</v>
      </c>
      <c r="O149" s="66">
        <f>IF(Valor_normalizado!O159=0,32,IFERROR(RANK(Valor_normalizado!O159,Valor_normalizado!O$130:O$161,0),"NA"))</f>
        <v>29</v>
      </c>
      <c r="P149" s="66">
        <f>IF(Valor_normalizado!P159=0,32,IFERROR(RANK(Valor_normalizado!P159,Valor_normalizado!P$130:P$161,0),"NA"))</f>
        <v>32</v>
      </c>
      <c r="Q149" s="66">
        <f>IF(Valor_normalizado!Q159=0,32,IFERROR(RANK(Valor_normalizado!Q159,Valor_normalizado!Q$130:Q$161,0),"NA"))</f>
        <v>32</v>
      </c>
      <c r="R149" s="66">
        <f>IF(Valor_normalizado!R159=0,32,IFERROR(RANK(Valor_normalizado!R159,Valor_normalizado!R$130:R$161,0),"NA"))</f>
        <v>30</v>
      </c>
      <c r="S149" s="66">
        <f>IF(Valor_normalizado!S159=0,32,IFERROR(RANK(Valor_normalizado!S159,Valor_normalizado!S$130:S$161,0),"NA"))</f>
        <v>32</v>
      </c>
      <c r="T149" s="66">
        <f>IF(Valor_normalizado!T159=0,32,IFERROR(RANK(Valor_normalizado!T159,Valor_normalizado!T$130:T$161,0),"NA"))</f>
        <v>32</v>
      </c>
      <c r="U149" s="66">
        <f>IF(Valor_normalizado!U159=0,32,IFERROR(RANK(Valor_normalizado!U159,Valor_normalizado!U$130:U$161,0),"NA"))</f>
        <v>32</v>
      </c>
      <c r="V149" s="66">
        <f>IF(Valor_normalizado!V159=0,32,IFERROR(RANK(Valor_normalizado!V159,Valor_normalizado!V$130:V$161,0),"NA"))</f>
        <v>31</v>
      </c>
      <c r="W149" s="66">
        <f>IF(Valor_normalizado!W159=0,32,IFERROR(RANK(Valor_normalizado!W159,Valor_normalizado!W$130:W$161,0),"NA"))</f>
        <v>31</v>
      </c>
      <c r="X149" s="66">
        <f>IF(Valor_normalizado!X159=0,32,IFERROR(RANK(Valor_normalizado!X159,Valor_normalizado!X$130:X$161,0),"NA"))</f>
        <v>30</v>
      </c>
      <c r="Y149" s="66">
        <f>IF(Valor_normalizado!Y159=0,32,IFERROR(RANK(Valor_normalizado!Y159,Valor_normalizado!Y$130:Y$161,0),"NA"))</f>
        <v>31</v>
      </c>
    </row>
    <row r="150" ht="14.25" hidden="1" customHeight="1">
      <c r="A150" s="51" t="s">
        <v>323</v>
      </c>
      <c r="B150" s="23">
        <v>2023.0</v>
      </c>
      <c r="C150" s="66">
        <f>IF(Valor_normalizado!C157=0,32,IFERROR(RANK(Valor_normalizado!C157,Valor_normalizado!C$130:C$161,0),"NA"))</f>
        <v>27</v>
      </c>
      <c r="D150" s="66">
        <f>IF(Valor_normalizado!D157=0,32,IFERROR(RANK(Valor_normalizado!D157,Valor_normalizado!D$130:D$161,0),"NA"))</f>
        <v>28</v>
      </c>
      <c r="E150" s="66">
        <f>IF(Valor_normalizado!E157=0,32,IFERROR(RANK(Valor_normalizado!E157,Valor_normalizado!E$130:E$161,0),"NA"))</f>
        <v>24</v>
      </c>
      <c r="F150" s="66">
        <f>IF(Valor_normalizado!F157=0,32,IFERROR(RANK(Valor_normalizado!F157,Valor_normalizado!F$130:F$161,0),"NA"))</f>
        <v>28</v>
      </c>
      <c r="G150" s="66">
        <f>IF(Valor_normalizado!G157=0,32,IFERROR(RANK(Valor_normalizado!G157,Valor_normalizado!G$130:G$161,0),"NA"))</f>
        <v>28</v>
      </c>
      <c r="H150" s="66">
        <f>IF(Valor_normalizado!H157=0,32,IFERROR(RANK(Valor_normalizado!H157,Valor_normalizado!H$130:H$161,0),"NA"))</f>
        <v>25</v>
      </c>
      <c r="I150" s="66">
        <f>IF(Valor_normalizado!I157=0,32,IFERROR(RANK(Valor_normalizado!I157,Valor_normalizado!I$130:I$161,0),"NA"))</f>
        <v>20</v>
      </c>
      <c r="J150" s="66">
        <f>IF(Valor_normalizado!J157=0,32,IFERROR(RANK(Valor_normalizado!J157,Valor_normalizado!J$130:J$161,0),"NA"))</f>
        <v>29</v>
      </c>
      <c r="K150" s="66">
        <f>IF(Valor_normalizado!K157=0,32,IFERROR(RANK(Valor_normalizado!K157,Valor_normalizado!K$130:K$161,0),"NA"))</f>
        <v>28</v>
      </c>
      <c r="L150" s="66">
        <f>IF(Valor_normalizado!L157=0,32,IFERROR(RANK(Valor_normalizado!L157,Valor_normalizado!L$130:L$161,0),"NA"))</f>
        <v>27</v>
      </c>
      <c r="M150" s="66">
        <f>IF(Valor_normalizado!M157=0,32,IFERROR(RANK(Valor_normalizado!M157,Valor_normalizado!M$130:M$161,0),"NA"))</f>
        <v>32</v>
      </c>
      <c r="N150" s="66">
        <f>IF(Valor_normalizado!N157=0,32,IFERROR(RANK(Valor_normalizado!N157,Valor_normalizado!N$130:N$161,0),"NA"))</f>
        <v>32</v>
      </c>
      <c r="O150" s="66">
        <f>IF(Valor_normalizado!O157=0,32,IFERROR(RANK(Valor_normalizado!O157,Valor_normalizado!O$130:O$161,0),"NA"))</f>
        <v>30</v>
      </c>
      <c r="P150" s="66">
        <f>IF(Valor_normalizado!P157=0,32,IFERROR(RANK(Valor_normalizado!P157,Valor_normalizado!P$130:P$161,0),"NA"))</f>
        <v>8</v>
      </c>
      <c r="Q150" s="66">
        <f>IF(Valor_normalizado!Q157=0,32,IFERROR(RANK(Valor_normalizado!Q157,Valor_normalizado!Q$130:Q$161,0),"NA"))</f>
        <v>32</v>
      </c>
      <c r="R150" s="66">
        <f>IF(Valor_normalizado!R157=0,32,IFERROR(RANK(Valor_normalizado!R157,Valor_normalizado!R$130:R$161,0),"NA"))</f>
        <v>25</v>
      </c>
      <c r="S150" s="66">
        <f>IF(Valor_normalizado!S157=0,32,IFERROR(RANK(Valor_normalizado!S157,Valor_normalizado!S$130:S$161,0),"NA"))</f>
        <v>32</v>
      </c>
      <c r="T150" s="66">
        <f>IF(Valor_normalizado!T157=0,32,IFERROR(RANK(Valor_normalizado!T157,Valor_normalizado!T$130:T$161,0),"NA"))</f>
        <v>32</v>
      </c>
      <c r="U150" s="66">
        <f>IF(Valor_normalizado!U157=0,32,IFERROR(RANK(Valor_normalizado!U157,Valor_normalizado!U$130:U$161,0),"NA"))</f>
        <v>32</v>
      </c>
      <c r="V150" s="66">
        <f>IF(Valor_normalizado!V157=0,32,IFERROR(RANK(Valor_normalizado!V157,Valor_normalizado!V$130:V$161,0),"NA"))</f>
        <v>20</v>
      </c>
      <c r="W150" s="66">
        <f>IF(Valor_normalizado!W157=0,32,IFERROR(RANK(Valor_normalizado!W157,Valor_normalizado!W$130:W$161,0),"NA"))</f>
        <v>26</v>
      </c>
      <c r="X150" s="66">
        <f>IF(Valor_normalizado!X157=0,32,IFERROR(RANK(Valor_normalizado!X157,Valor_normalizado!X$130:X$161,0),"NA"))</f>
        <v>28</v>
      </c>
      <c r="Y150" s="66">
        <f>IF(Valor_normalizado!Y157=0,32,IFERROR(RANK(Valor_normalizado!Y157,Valor_normalizado!Y$130:Y$161,0),"NA"))</f>
        <v>27</v>
      </c>
    </row>
    <row r="151" ht="14.25" hidden="1" customHeight="1">
      <c r="A151" s="49" t="s">
        <v>328</v>
      </c>
      <c r="B151" s="23">
        <v>2023.0</v>
      </c>
      <c r="C151" s="66">
        <f>IF(Valor_normalizado!C146=0,32,IFERROR(RANK(Valor_normalizado!C146,Valor_normalizado!C$130:C$161,0),"NA"))</f>
        <v>31</v>
      </c>
      <c r="D151" s="66">
        <f>IF(Valor_normalizado!D146=0,32,IFERROR(RANK(Valor_normalizado!D146,Valor_normalizado!D$130:D$161,0),"NA"))</f>
        <v>29</v>
      </c>
      <c r="E151" s="66">
        <f>IF(Valor_normalizado!E146=0,32,IFERROR(RANK(Valor_normalizado!E146,Valor_normalizado!E$130:E$161,0),"NA"))</f>
        <v>25</v>
      </c>
      <c r="F151" s="66">
        <f>IF(Valor_normalizado!F146=0,32,IFERROR(RANK(Valor_normalizado!F146,Valor_normalizado!F$130:F$161,0),"NA"))</f>
        <v>30</v>
      </c>
      <c r="G151" s="66">
        <f>IF(Valor_normalizado!G146=0,32,IFERROR(RANK(Valor_normalizado!G146,Valor_normalizado!G$130:G$161,0),"NA"))</f>
        <v>30</v>
      </c>
      <c r="H151" s="66">
        <f>IF(Valor_normalizado!H146=0,32,IFERROR(RANK(Valor_normalizado!H146,Valor_normalizado!H$130:H$161,0),"NA"))</f>
        <v>29</v>
      </c>
      <c r="I151" s="66">
        <f>IF(Valor_normalizado!I146=0,32,IFERROR(RANK(Valor_normalizado!I146,Valor_normalizado!I$130:I$161,0),"NA"))</f>
        <v>31</v>
      </c>
      <c r="J151" s="66">
        <f>IF(Valor_normalizado!J146=0,32,IFERROR(RANK(Valor_normalizado!J146,Valor_normalizado!J$130:J$161,0),"NA"))</f>
        <v>28</v>
      </c>
      <c r="K151" s="66">
        <f>IF(Valor_normalizado!K146=0,32,IFERROR(RANK(Valor_normalizado!K146,Valor_normalizado!K$130:K$161,0),"NA"))</f>
        <v>29</v>
      </c>
      <c r="L151" s="66">
        <f>IF(Valor_normalizado!L146=0,32,IFERROR(RANK(Valor_normalizado!L146,Valor_normalizado!L$130:L$161,0),"NA"))</f>
        <v>31</v>
      </c>
      <c r="M151" s="66">
        <f>IF(Valor_normalizado!M146=0,32,IFERROR(RANK(Valor_normalizado!M146,Valor_normalizado!M$130:M$161,0),"NA"))</f>
        <v>7</v>
      </c>
      <c r="N151" s="66">
        <f>IF(Valor_normalizado!N146=0,32,IFERROR(RANK(Valor_normalizado!N146,Valor_normalizado!N$130:N$161,0),"NA"))</f>
        <v>32</v>
      </c>
      <c r="O151" s="66">
        <f>IF(Valor_normalizado!O146=0,32,IFERROR(RANK(Valor_normalizado!O146,Valor_normalizado!O$130:O$161,0),"NA"))</f>
        <v>19</v>
      </c>
      <c r="P151" s="66">
        <f>IF(Valor_normalizado!P146=0,32,IFERROR(RANK(Valor_normalizado!P146,Valor_normalizado!P$130:P$161,0),"NA"))</f>
        <v>9</v>
      </c>
      <c r="Q151" s="66">
        <f>IF(Valor_normalizado!Q146=0,32,IFERROR(RANK(Valor_normalizado!Q146,Valor_normalizado!Q$130:Q$161,0),"NA"))</f>
        <v>1</v>
      </c>
      <c r="R151" s="66">
        <f>IF(Valor_normalizado!R146=0,32,IFERROR(RANK(Valor_normalizado!R146,Valor_normalizado!R$130:R$161,0),"NA"))</f>
        <v>11</v>
      </c>
      <c r="S151" s="66">
        <f>IF(Valor_normalizado!S146=0,32,IFERROR(RANK(Valor_normalizado!S146,Valor_normalizado!S$130:S$161,0),"NA"))</f>
        <v>32</v>
      </c>
      <c r="T151" s="66">
        <f>IF(Valor_normalizado!T146=0,32,IFERROR(RANK(Valor_normalizado!T146,Valor_normalizado!T$130:T$161,0),"NA"))</f>
        <v>32</v>
      </c>
      <c r="U151" s="66">
        <f>IF(Valor_normalizado!U146=0,32,IFERROR(RANK(Valor_normalizado!U146,Valor_normalizado!U$130:U$161,0),"NA"))</f>
        <v>32</v>
      </c>
      <c r="V151" s="66">
        <f>IF(Valor_normalizado!V146=0,32,IFERROR(RANK(Valor_normalizado!V146,Valor_normalizado!V$130:V$161,0),"NA"))</f>
        <v>23</v>
      </c>
      <c r="W151" s="66">
        <f>IF(Valor_normalizado!W146=0,32,IFERROR(RANK(Valor_normalizado!W146,Valor_normalizado!W$130:W$161,0),"NA"))</f>
        <v>27</v>
      </c>
      <c r="X151" s="66">
        <f>IF(Valor_normalizado!X146=0,32,IFERROR(RANK(Valor_normalizado!X146,Valor_normalizado!X$130:X$161,0),"NA"))</f>
        <v>17</v>
      </c>
      <c r="Y151" s="66">
        <f>IF(Valor_normalizado!Y146=0,32,IFERROR(RANK(Valor_normalizado!Y146,Valor_normalizado!Y$130:Y$161,0),"NA"))</f>
        <v>29</v>
      </c>
    </row>
    <row r="152" ht="14.25" hidden="1" customHeight="1">
      <c r="A152" s="51" t="s">
        <v>326</v>
      </c>
      <c r="B152" s="23">
        <v>2023.0</v>
      </c>
      <c r="C152" s="66">
        <f>IF(Valor_normalizado!C153=0,32,IFERROR(RANK(Valor_normalizado!C153,Valor_normalizado!C$130:C$161,0),"NA"))</f>
        <v>24</v>
      </c>
      <c r="D152" s="66">
        <f>IF(Valor_normalizado!D153=0,32,IFERROR(RANK(Valor_normalizado!D153,Valor_normalizado!D$130:D$161,0),"NA"))</f>
        <v>5</v>
      </c>
      <c r="E152" s="66">
        <f>IF(Valor_normalizado!E153=0,32,IFERROR(RANK(Valor_normalizado!E153,Valor_normalizado!E$130:E$161,0),"NA"))</f>
        <v>15</v>
      </c>
      <c r="F152" s="66">
        <f>IF(Valor_normalizado!F153=0,32,IFERROR(RANK(Valor_normalizado!F153,Valor_normalizado!F$130:F$161,0),"NA"))</f>
        <v>21</v>
      </c>
      <c r="G152" s="66">
        <f>IF(Valor_normalizado!G153=0,32,IFERROR(RANK(Valor_normalizado!G153,Valor_normalizado!G$130:G$161,0),"NA"))</f>
        <v>17</v>
      </c>
      <c r="H152" s="66">
        <f>IF(Valor_normalizado!H153=0,32,IFERROR(RANK(Valor_normalizado!H153,Valor_normalizado!H$130:H$161,0),"NA"))</f>
        <v>31</v>
      </c>
      <c r="I152" s="66">
        <f>IF(Valor_normalizado!I153=0,32,IFERROR(RANK(Valor_normalizado!I153,Valor_normalizado!I$130:I$161,0),"NA"))</f>
        <v>27</v>
      </c>
      <c r="J152" s="66">
        <f>IF(Valor_normalizado!J153=0,32,IFERROR(RANK(Valor_normalizado!J153,Valor_normalizado!J$130:J$161,0),"NA"))</f>
        <v>31</v>
      </c>
      <c r="K152" s="66">
        <f>IF(Valor_normalizado!K153=0,32,IFERROR(RANK(Valor_normalizado!K153,Valor_normalizado!K$130:K$161,0),"NA"))</f>
        <v>30</v>
      </c>
      <c r="L152" s="66">
        <f>IF(Valor_normalizado!L153=0,32,IFERROR(RANK(Valor_normalizado!L153,Valor_normalizado!L$130:L$161,0),"NA"))</f>
        <v>24</v>
      </c>
      <c r="M152" s="66">
        <f>IF(Valor_normalizado!M153=0,32,IFERROR(RANK(Valor_normalizado!M153,Valor_normalizado!M$130:M$161,0),"NA"))</f>
        <v>22</v>
      </c>
      <c r="N152" s="66">
        <f>IF(Valor_normalizado!N153=0,32,IFERROR(RANK(Valor_normalizado!N153,Valor_normalizado!N$130:N$161,0),"NA"))</f>
        <v>32</v>
      </c>
      <c r="O152" s="66">
        <f>IF(Valor_normalizado!O153=0,32,IFERROR(RANK(Valor_normalizado!O153,Valor_normalizado!O$130:O$161,0),"NA"))</f>
        <v>26</v>
      </c>
      <c r="P152" s="66">
        <f>IF(Valor_normalizado!P153=0,32,IFERROR(RANK(Valor_normalizado!P153,Valor_normalizado!P$130:P$161,0),"NA"))</f>
        <v>32</v>
      </c>
      <c r="Q152" s="66">
        <f>IF(Valor_normalizado!Q153=0,32,IFERROR(RANK(Valor_normalizado!Q153,Valor_normalizado!Q$130:Q$161,0),"NA"))</f>
        <v>32</v>
      </c>
      <c r="R152" s="66">
        <f>IF(Valor_normalizado!R153=0,32,IFERROR(RANK(Valor_normalizado!R153,Valor_normalizado!R$130:R$161,0),"NA"))</f>
        <v>26</v>
      </c>
      <c r="S152" s="66">
        <f>IF(Valor_normalizado!S153=0,32,IFERROR(RANK(Valor_normalizado!S153,Valor_normalizado!S$130:S$161,0),"NA"))</f>
        <v>8</v>
      </c>
      <c r="T152" s="66">
        <f>IF(Valor_normalizado!T153=0,32,IFERROR(RANK(Valor_normalizado!T153,Valor_normalizado!T$130:T$161,0),"NA"))</f>
        <v>32</v>
      </c>
      <c r="U152" s="66">
        <f>IF(Valor_normalizado!U153=0,32,IFERROR(RANK(Valor_normalizado!U153,Valor_normalizado!U$130:U$161,0),"NA"))</f>
        <v>32</v>
      </c>
      <c r="V152" s="66">
        <f>IF(Valor_normalizado!V153=0,32,IFERROR(RANK(Valor_normalizado!V153,Valor_normalizado!V$130:V$161,0),"NA"))</f>
        <v>10</v>
      </c>
      <c r="W152" s="66">
        <f>IF(Valor_normalizado!W153=0,32,IFERROR(RANK(Valor_normalizado!W153,Valor_normalizado!W$130:W$161,0),"NA"))</f>
        <v>16</v>
      </c>
      <c r="X152" s="66">
        <f>IF(Valor_normalizado!X153=0,32,IFERROR(RANK(Valor_normalizado!X153,Valor_normalizado!X$130:X$161,0),"NA"))</f>
        <v>24</v>
      </c>
      <c r="Y152" s="66">
        <f>IF(Valor_normalizado!Y153=0,32,IFERROR(RANK(Valor_normalizado!Y153,Valor_normalizado!Y$130:Y$161,0),"NA"))</f>
        <v>21</v>
      </c>
    </row>
    <row r="153" ht="14.25" hidden="1" customHeight="1">
      <c r="A153" s="49" t="s">
        <v>330</v>
      </c>
      <c r="B153" s="23">
        <v>2023.0</v>
      </c>
      <c r="C153" s="66">
        <f>IF(Valor_normalizado!C154=0,32,IFERROR(RANK(Valor_normalizado!C154,Valor_normalizado!C$130:C$161,0),"NA"))</f>
        <v>18</v>
      </c>
      <c r="D153" s="66">
        <f>IF(Valor_normalizado!D154=0,32,IFERROR(RANK(Valor_normalizado!D154,Valor_normalizado!D$130:D$161,0),"NA"))</f>
        <v>15</v>
      </c>
      <c r="E153" s="66">
        <f>IF(Valor_normalizado!E154=0,32,IFERROR(RANK(Valor_normalizado!E154,Valor_normalizado!E$130:E$161,0),"NA"))</f>
        <v>23</v>
      </c>
      <c r="F153" s="66">
        <f>IF(Valor_normalizado!F154=0,32,IFERROR(RANK(Valor_normalizado!F154,Valor_normalizado!F$130:F$161,0),"NA"))</f>
        <v>17</v>
      </c>
      <c r="G153" s="66">
        <f>IF(Valor_normalizado!G154=0,32,IFERROR(RANK(Valor_normalizado!G154,Valor_normalizado!G$130:G$161,0),"NA"))</f>
        <v>19</v>
      </c>
      <c r="H153" s="66">
        <f>IF(Valor_normalizado!H154=0,32,IFERROR(RANK(Valor_normalizado!H154,Valor_normalizado!H$130:H$161,0),"NA"))</f>
        <v>17</v>
      </c>
      <c r="I153" s="66">
        <f>IF(Valor_normalizado!I154=0,32,IFERROR(RANK(Valor_normalizado!I154,Valor_normalizado!I$130:I$161,0),"NA"))</f>
        <v>24</v>
      </c>
      <c r="J153" s="66">
        <f>IF(Valor_normalizado!J154=0,32,IFERROR(RANK(Valor_normalizado!J154,Valor_normalizado!J$130:J$161,0),"NA"))</f>
        <v>18</v>
      </c>
      <c r="K153" s="66">
        <f>IF(Valor_normalizado!K154=0,32,IFERROR(RANK(Valor_normalizado!K154,Valor_normalizado!K$130:K$161,0),"NA"))</f>
        <v>22</v>
      </c>
      <c r="L153" s="66">
        <f>IF(Valor_normalizado!L154=0,32,IFERROR(RANK(Valor_normalizado!L154,Valor_normalizado!L$130:L$161,0),"NA"))</f>
        <v>20</v>
      </c>
      <c r="M153" s="66">
        <f>IF(Valor_normalizado!M154=0,32,IFERROR(RANK(Valor_normalizado!M154,Valor_normalizado!M$130:M$161,0),"NA"))</f>
        <v>23</v>
      </c>
      <c r="N153" s="66">
        <f>IF(Valor_normalizado!N154=0,32,IFERROR(RANK(Valor_normalizado!N154,Valor_normalizado!N$130:N$161,0),"NA"))</f>
        <v>32</v>
      </c>
      <c r="O153" s="66">
        <f>IF(Valor_normalizado!O154=0,32,IFERROR(RANK(Valor_normalizado!O154,Valor_normalizado!O$130:O$161,0),"NA"))</f>
        <v>24</v>
      </c>
      <c r="P153" s="66">
        <f>IF(Valor_normalizado!P154=0,32,IFERROR(RANK(Valor_normalizado!P154,Valor_normalizado!P$130:P$161,0),"NA"))</f>
        <v>23</v>
      </c>
      <c r="Q153" s="66">
        <f>IF(Valor_normalizado!Q154=0,32,IFERROR(RANK(Valor_normalizado!Q154,Valor_normalizado!Q$130:Q$161,0),"NA"))</f>
        <v>10</v>
      </c>
      <c r="R153" s="66">
        <f>IF(Valor_normalizado!R154=0,32,IFERROR(RANK(Valor_normalizado!R154,Valor_normalizado!R$130:R$161,0),"NA"))</f>
        <v>21</v>
      </c>
      <c r="S153" s="66">
        <f>IF(Valor_normalizado!S154=0,32,IFERROR(RANK(Valor_normalizado!S154,Valor_normalizado!S$130:S$161,0),"NA"))</f>
        <v>19</v>
      </c>
      <c r="T153" s="66">
        <f>IF(Valor_normalizado!T154=0,32,IFERROR(RANK(Valor_normalizado!T154,Valor_normalizado!T$130:T$161,0),"NA"))</f>
        <v>32</v>
      </c>
      <c r="U153" s="66">
        <f>IF(Valor_normalizado!U154=0,32,IFERROR(RANK(Valor_normalizado!U154,Valor_normalizado!U$130:U$161,0),"NA"))</f>
        <v>21</v>
      </c>
      <c r="V153" s="66">
        <f>IF(Valor_normalizado!V154=0,32,IFERROR(RANK(Valor_normalizado!V154,Valor_normalizado!V$130:V$161,0),"NA"))</f>
        <v>26</v>
      </c>
      <c r="W153" s="66">
        <f>IF(Valor_normalizado!W154=0,32,IFERROR(RANK(Valor_normalizado!W154,Valor_normalizado!W$130:W$161,0),"NA"))</f>
        <v>25</v>
      </c>
      <c r="X153" s="66">
        <f>IF(Valor_normalizado!X154=0,32,IFERROR(RANK(Valor_normalizado!X154,Valor_normalizado!X$130:X$161,0),"NA"))</f>
        <v>25</v>
      </c>
      <c r="Y153" s="66">
        <f>IF(Valor_normalizado!Y154=0,32,IFERROR(RANK(Valor_normalizado!Y154,Valor_normalizado!Y$130:Y$161,0),"NA"))</f>
        <v>20</v>
      </c>
    </row>
    <row r="154" ht="14.25" hidden="1" customHeight="1">
      <c r="A154" s="49" t="s">
        <v>325</v>
      </c>
      <c r="B154" s="23">
        <v>2023.0</v>
      </c>
      <c r="C154" s="66">
        <f>IF(Valor_normalizado!C152=0,32,IFERROR(RANK(Valor_normalizado!C152,Valor_normalizado!C$130:C$161,0),"NA"))</f>
        <v>29</v>
      </c>
      <c r="D154" s="66">
        <f>IF(Valor_normalizado!D152=0,32,IFERROR(RANK(Valor_normalizado!D152,Valor_normalizado!D$130:D$161,0),"NA"))</f>
        <v>32</v>
      </c>
      <c r="E154" s="66">
        <f>IF(Valor_normalizado!E152=0,32,IFERROR(RANK(Valor_normalizado!E152,Valor_normalizado!E$130:E$161,0),"NA"))</f>
        <v>30</v>
      </c>
      <c r="F154" s="66">
        <f>IF(Valor_normalizado!F152=0,32,IFERROR(RANK(Valor_normalizado!F152,Valor_normalizado!F$130:F$161,0),"NA"))</f>
        <v>29</v>
      </c>
      <c r="G154" s="66">
        <f>IF(Valor_normalizado!G152=0,32,IFERROR(RANK(Valor_normalizado!G152,Valor_normalizado!G$130:G$161,0),"NA"))</f>
        <v>31</v>
      </c>
      <c r="H154" s="66">
        <f>IF(Valor_normalizado!H152=0,32,IFERROR(RANK(Valor_normalizado!H152,Valor_normalizado!H$130:H$161,0),"NA"))</f>
        <v>28</v>
      </c>
      <c r="I154" s="66">
        <f>IF(Valor_normalizado!I152=0,32,IFERROR(RANK(Valor_normalizado!I152,Valor_normalizado!I$130:I$161,0),"NA"))</f>
        <v>29</v>
      </c>
      <c r="J154" s="66">
        <f>IF(Valor_normalizado!J152=0,32,IFERROR(RANK(Valor_normalizado!J152,Valor_normalizado!J$130:J$161,0),"NA"))</f>
        <v>6</v>
      </c>
      <c r="K154" s="66">
        <f>IF(Valor_normalizado!K152=0,32,IFERROR(RANK(Valor_normalizado!K152,Valor_normalizado!K$130:K$161,0),"NA"))</f>
        <v>20</v>
      </c>
      <c r="L154" s="66">
        <f>IF(Valor_normalizado!L152=0,32,IFERROR(RANK(Valor_normalizado!L152,Valor_normalizado!L$130:L$161,0),"NA"))</f>
        <v>28</v>
      </c>
      <c r="M154" s="66">
        <f>IF(Valor_normalizado!M152=0,32,IFERROR(RANK(Valor_normalizado!M152,Valor_normalizado!M$130:M$161,0),"NA"))</f>
        <v>32</v>
      </c>
      <c r="N154" s="66">
        <f>IF(Valor_normalizado!N152=0,32,IFERROR(RANK(Valor_normalizado!N152,Valor_normalizado!N$130:N$161,0),"NA"))</f>
        <v>32</v>
      </c>
      <c r="O154" s="66">
        <f>IF(Valor_normalizado!O152=0,32,IFERROR(RANK(Valor_normalizado!O152,Valor_normalizado!O$130:O$161,0),"NA"))</f>
        <v>32</v>
      </c>
      <c r="P154" s="66">
        <f>IF(Valor_normalizado!P152=0,32,IFERROR(RANK(Valor_normalizado!P152,Valor_normalizado!P$130:P$161,0),"NA"))</f>
        <v>32</v>
      </c>
      <c r="Q154" s="66">
        <f>IF(Valor_normalizado!Q152=0,32,IFERROR(RANK(Valor_normalizado!Q152,Valor_normalizado!Q$130:Q$161,0),"NA"))</f>
        <v>32</v>
      </c>
      <c r="R154" s="66">
        <f>IF(Valor_normalizado!R152=0,32,IFERROR(RANK(Valor_normalizado!R152,Valor_normalizado!R$130:R$161,0),"NA"))</f>
        <v>32</v>
      </c>
      <c r="S154" s="66">
        <f>IF(Valor_normalizado!S152=0,32,IFERROR(RANK(Valor_normalizado!S152,Valor_normalizado!S$130:S$161,0),"NA"))</f>
        <v>32</v>
      </c>
      <c r="T154" s="66">
        <f>IF(Valor_normalizado!T152=0,32,IFERROR(RANK(Valor_normalizado!T152,Valor_normalizado!T$130:T$161,0),"NA"))</f>
        <v>2</v>
      </c>
      <c r="U154" s="66">
        <f>IF(Valor_normalizado!U152=0,32,IFERROR(RANK(Valor_normalizado!U152,Valor_normalizado!U$130:U$161,0),"NA"))</f>
        <v>32</v>
      </c>
      <c r="V154" s="66">
        <f>IF(Valor_normalizado!V152=0,32,IFERROR(RANK(Valor_normalizado!V152,Valor_normalizado!V$130:V$161,0),"NA"))</f>
        <v>29</v>
      </c>
      <c r="W154" s="66">
        <f>IF(Valor_normalizado!W152=0,32,IFERROR(RANK(Valor_normalizado!W152,Valor_normalizado!W$130:W$161,0),"NA"))</f>
        <v>13</v>
      </c>
      <c r="X154" s="66">
        <f>IF(Valor_normalizado!X152=0,32,IFERROR(RANK(Valor_normalizado!X152,Valor_normalizado!X$130:X$161,0),"NA"))</f>
        <v>23</v>
      </c>
      <c r="Y154" s="66">
        <f>IF(Valor_normalizado!Y152=0,32,IFERROR(RANK(Valor_normalizado!Y152,Valor_normalizado!Y$130:Y$161,0),"NA"))</f>
        <v>32</v>
      </c>
    </row>
    <row r="155" ht="14.25" hidden="1" customHeight="1">
      <c r="A155" s="51" t="s">
        <v>332</v>
      </c>
      <c r="B155" s="23">
        <v>2023.0</v>
      </c>
      <c r="C155" s="66">
        <f>IF(Valor_normalizado!C155=0,32,IFERROR(RANK(Valor_normalizado!C155,Valor_normalizado!C$130:C$161,0),"NA"))</f>
        <v>25</v>
      </c>
      <c r="D155" s="66">
        <f>IF(Valor_normalizado!D155=0,32,IFERROR(RANK(Valor_normalizado!D155,Valor_normalizado!D$130:D$161,0),"NA"))</f>
        <v>30</v>
      </c>
      <c r="E155" s="66">
        <f>IF(Valor_normalizado!E155=0,32,IFERROR(RANK(Valor_normalizado!E155,Valor_normalizado!E$130:E$161,0),"NA"))</f>
        <v>29</v>
      </c>
      <c r="F155" s="66">
        <f>IF(Valor_normalizado!F155=0,32,IFERROR(RANK(Valor_normalizado!F155,Valor_normalizado!F$130:F$161,0),"NA"))</f>
        <v>19</v>
      </c>
      <c r="G155" s="66">
        <f>IF(Valor_normalizado!G155=0,32,IFERROR(RANK(Valor_normalizado!G155,Valor_normalizado!G$130:G$161,0),"NA"))</f>
        <v>25</v>
      </c>
      <c r="H155" s="66">
        <f>IF(Valor_normalizado!H155=0,32,IFERROR(RANK(Valor_normalizado!H155,Valor_normalizado!H$130:H$161,0),"NA"))</f>
        <v>18</v>
      </c>
      <c r="I155" s="66">
        <f>IF(Valor_normalizado!I155=0,32,IFERROR(RANK(Valor_normalizado!I155,Valor_normalizado!I$130:I$161,0),"NA"))</f>
        <v>22</v>
      </c>
      <c r="J155" s="66">
        <f>IF(Valor_normalizado!J155=0,32,IFERROR(RANK(Valor_normalizado!J155,Valor_normalizado!J$130:J$161,0),"NA"))</f>
        <v>22</v>
      </c>
      <c r="K155" s="66">
        <f>IF(Valor_normalizado!K155=0,32,IFERROR(RANK(Valor_normalizado!K155,Valor_normalizado!K$130:K$161,0),"NA"))</f>
        <v>24</v>
      </c>
      <c r="L155" s="66">
        <f>IF(Valor_normalizado!L155=0,32,IFERROR(RANK(Valor_normalizado!L155,Valor_normalizado!L$130:L$161,0),"NA"))</f>
        <v>25</v>
      </c>
      <c r="M155" s="66">
        <f>IF(Valor_normalizado!M155=0,32,IFERROR(RANK(Valor_normalizado!M155,Valor_normalizado!M$130:M$161,0),"NA"))</f>
        <v>24</v>
      </c>
      <c r="N155" s="66">
        <f>IF(Valor_normalizado!N155=0,32,IFERROR(RANK(Valor_normalizado!N155,Valor_normalizado!N$130:N$161,0),"NA"))</f>
        <v>32</v>
      </c>
      <c r="O155" s="66">
        <f>IF(Valor_normalizado!O155=0,32,IFERROR(RANK(Valor_normalizado!O155,Valor_normalizado!O$130:O$161,0),"NA"))</f>
        <v>21</v>
      </c>
      <c r="P155" s="66">
        <f>IF(Valor_normalizado!P155=0,32,IFERROR(RANK(Valor_normalizado!P155,Valor_normalizado!P$130:P$161,0),"NA"))</f>
        <v>32</v>
      </c>
      <c r="Q155" s="66">
        <f>IF(Valor_normalizado!Q155=0,32,IFERROR(RANK(Valor_normalizado!Q155,Valor_normalizado!Q$130:Q$161,0),"NA"))</f>
        <v>9</v>
      </c>
      <c r="R155" s="66">
        <f>IF(Valor_normalizado!R155=0,32,IFERROR(RANK(Valor_normalizado!R155,Valor_normalizado!R$130:R$161,0),"NA"))</f>
        <v>24</v>
      </c>
      <c r="S155" s="66">
        <f>IF(Valor_normalizado!S155=0,32,IFERROR(RANK(Valor_normalizado!S155,Valor_normalizado!S$130:S$161,0),"NA"))</f>
        <v>32</v>
      </c>
      <c r="T155" s="66">
        <f>IF(Valor_normalizado!T155=0,32,IFERROR(RANK(Valor_normalizado!T155,Valor_normalizado!T$130:T$161,0),"NA"))</f>
        <v>32</v>
      </c>
      <c r="U155" s="66">
        <f>IF(Valor_normalizado!U155=0,32,IFERROR(RANK(Valor_normalizado!U155,Valor_normalizado!U$130:U$161,0),"NA"))</f>
        <v>16</v>
      </c>
      <c r="V155" s="66">
        <f>IF(Valor_normalizado!V155=0,32,IFERROR(RANK(Valor_normalizado!V155,Valor_normalizado!V$130:V$161,0),"NA"))</f>
        <v>24</v>
      </c>
      <c r="W155" s="66">
        <f>IF(Valor_normalizado!W155=0,32,IFERROR(RANK(Valor_normalizado!W155,Valor_normalizado!W$130:W$161,0),"NA"))</f>
        <v>24</v>
      </c>
      <c r="X155" s="66">
        <f>IF(Valor_normalizado!X155=0,32,IFERROR(RANK(Valor_normalizado!X155,Valor_normalizado!X$130:X$161,0),"NA"))</f>
        <v>26</v>
      </c>
      <c r="Y155" s="66">
        <f>IF(Valor_normalizado!Y155=0,32,IFERROR(RANK(Valor_normalizado!Y155,Valor_normalizado!Y$130:Y$161,0),"NA"))</f>
        <v>25</v>
      </c>
    </row>
    <row r="156" ht="14.25" hidden="1" customHeight="1">
      <c r="A156" s="51" t="s">
        <v>331</v>
      </c>
      <c r="B156" s="23">
        <v>2023.0</v>
      </c>
      <c r="C156" s="66">
        <f>IF(Valor_normalizado!C145=0,32,IFERROR(RANK(Valor_normalizado!C145,Valor_normalizado!C$130:C$161,0),"NA"))</f>
        <v>23</v>
      </c>
      <c r="D156" s="66">
        <f>IF(Valor_normalizado!D145=0,32,IFERROR(RANK(Valor_normalizado!D145,Valor_normalizado!D$130:D$161,0),"NA"))</f>
        <v>16</v>
      </c>
      <c r="E156" s="66">
        <f>IF(Valor_normalizado!E145=0,32,IFERROR(RANK(Valor_normalizado!E145,Valor_normalizado!E$130:E$161,0),"NA"))</f>
        <v>28</v>
      </c>
      <c r="F156" s="66">
        <f>IF(Valor_normalizado!F145=0,32,IFERROR(RANK(Valor_normalizado!F145,Valor_normalizado!F$130:F$161,0),"NA"))</f>
        <v>27</v>
      </c>
      <c r="G156" s="66">
        <f>IF(Valor_normalizado!G145=0,32,IFERROR(RANK(Valor_normalizado!G145,Valor_normalizado!G$130:G$161,0),"NA"))</f>
        <v>24</v>
      </c>
      <c r="H156" s="66">
        <f>IF(Valor_normalizado!H145=0,32,IFERROR(RANK(Valor_normalizado!H145,Valor_normalizado!H$130:H$161,0),"NA"))</f>
        <v>12</v>
      </c>
      <c r="I156" s="66">
        <f>IF(Valor_normalizado!I145=0,32,IFERROR(RANK(Valor_normalizado!I145,Valor_normalizado!I$130:I$161,0),"NA"))</f>
        <v>13</v>
      </c>
      <c r="J156" s="66">
        <f>IF(Valor_normalizado!J145=0,32,IFERROR(RANK(Valor_normalizado!J145,Valor_normalizado!J$130:J$161,0),"NA"))</f>
        <v>26</v>
      </c>
      <c r="K156" s="66">
        <f>IF(Valor_normalizado!K145=0,32,IFERROR(RANK(Valor_normalizado!K145,Valor_normalizado!K$130:K$161,0),"NA"))</f>
        <v>17</v>
      </c>
      <c r="L156" s="66">
        <f>IF(Valor_normalizado!L145=0,32,IFERROR(RANK(Valor_normalizado!L145,Valor_normalizado!L$130:L$161,0),"NA"))</f>
        <v>22</v>
      </c>
      <c r="M156" s="66">
        <f>IF(Valor_normalizado!M145=0,32,IFERROR(RANK(Valor_normalizado!M145,Valor_normalizado!M$130:M$161,0),"NA"))</f>
        <v>12</v>
      </c>
      <c r="N156" s="66">
        <f>IF(Valor_normalizado!N145=0,32,IFERROR(RANK(Valor_normalizado!N145,Valor_normalizado!N$130:N$161,0),"NA"))</f>
        <v>14</v>
      </c>
      <c r="O156" s="66">
        <f>IF(Valor_normalizado!O145=0,32,IFERROR(RANK(Valor_normalizado!O145,Valor_normalizado!O$130:O$161,0),"NA"))</f>
        <v>11</v>
      </c>
      <c r="P156" s="66">
        <f>IF(Valor_normalizado!P145=0,32,IFERROR(RANK(Valor_normalizado!P145,Valor_normalizado!P$130:P$161,0),"NA"))</f>
        <v>11</v>
      </c>
      <c r="Q156" s="66">
        <f>IF(Valor_normalizado!Q145=0,32,IFERROR(RANK(Valor_normalizado!Q145,Valor_normalizado!Q$130:Q$161,0),"NA"))</f>
        <v>5</v>
      </c>
      <c r="R156" s="66">
        <f>IF(Valor_normalizado!R145=0,32,IFERROR(RANK(Valor_normalizado!R145,Valor_normalizado!R$130:R$161,0),"NA"))</f>
        <v>12</v>
      </c>
      <c r="S156" s="66">
        <f>IF(Valor_normalizado!S145=0,32,IFERROR(RANK(Valor_normalizado!S145,Valor_normalizado!S$130:S$161,0),"NA"))</f>
        <v>18</v>
      </c>
      <c r="T156" s="66">
        <f>IF(Valor_normalizado!T145=0,32,IFERROR(RANK(Valor_normalizado!T145,Valor_normalizado!T$130:T$161,0),"NA"))</f>
        <v>20</v>
      </c>
      <c r="U156" s="66">
        <f>IF(Valor_normalizado!U145=0,32,IFERROR(RANK(Valor_normalizado!U145,Valor_normalizado!U$130:U$161,0),"NA"))</f>
        <v>32</v>
      </c>
      <c r="V156" s="66">
        <f>IF(Valor_normalizado!V145=0,32,IFERROR(RANK(Valor_normalizado!V145,Valor_normalizado!V$130:V$161,0),"NA"))</f>
        <v>21</v>
      </c>
      <c r="W156" s="66">
        <f>IF(Valor_normalizado!W145=0,32,IFERROR(RANK(Valor_normalizado!W145,Valor_normalizado!W$130:W$161,0),"NA"))</f>
        <v>22</v>
      </c>
      <c r="X156" s="66">
        <f>IF(Valor_normalizado!X145=0,32,IFERROR(RANK(Valor_normalizado!X145,Valor_normalizado!X$130:X$161,0),"NA"))</f>
        <v>16</v>
      </c>
      <c r="Y156" s="66">
        <f>IF(Valor_normalizado!Y145=0,32,IFERROR(RANK(Valor_normalizado!Y145,Valor_normalizado!Y$130:Y$161,0),"NA"))</f>
        <v>18</v>
      </c>
    </row>
    <row r="157" ht="14.25" hidden="1" customHeight="1">
      <c r="A157" s="49" t="s">
        <v>334</v>
      </c>
      <c r="B157" s="23">
        <v>2023.0</v>
      </c>
      <c r="C157" s="66">
        <f>IF(Valor_normalizado!C140=0,32,IFERROR(RANK(Valor_normalizado!C140,Valor_normalizado!C$130:C$161,0),"NA"))</f>
        <v>5</v>
      </c>
      <c r="D157" s="66">
        <f>IF(Valor_normalizado!D140=0,32,IFERROR(RANK(Valor_normalizado!D140,Valor_normalizado!D$130:D$161,0),"NA"))</f>
        <v>13</v>
      </c>
      <c r="E157" s="66">
        <f>IF(Valor_normalizado!E140=0,32,IFERROR(RANK(Valor_normalizado!E140,Valor_normalizado!E$130:E$161,0),"NA"))</f>
        <v>8</v>
      </c>
      <c r="F157" s="66">
        <f>IF(Valor_normalizado!F140=0,32,IFERROR(RANK(Valor_normalizado!F140,Valor_normalizado!F$130:F$161,0),"NA"))</f>
        <v>5</v>
      </c>
      <c r="G157" s="66">
        <f>IF(Valor_normalizado!G140=0,32,IFERROR(RANK(Valor_normalizado!G140,Valor_normalizado!G$130:G$161,0),"NA"))</f>
        <v>6</v>
      </c>
      <c r="H157" s="66">
        <f>IF(Valor_normalizado!H140=0,32,IFERROR(RANK(Valor_normalizado!H140,Valor_normalizado!H$130:H$161,0),"NA"))</f>
        <v>10</v>
      </c>
      <c r="I157" s="66">
        <f>IF(Valor_normalizado!I140=0,32,IFERROR(RANK(Valor_normalizado!I140,Valor_normalizado!I$130:I$161,0),"NA"))</f>
        <v>7</v>
      </c>
      <c r="J157" s="66">
        <f>IF(Valor_normalizado!J140=0,32,IFERROR(RANK(Valor_normalizado!J140,Valor_normalizado!J$130:J$161,0),"NA"))</f>
        <v>12</v>
      </c>
      <c r="K157" s="66">
        <f>IF(Valor_normalizado!K140=0,32,IFERROR(RANK(Valor_normalizado!K140,Valor_normalizado!K$130:K$161,0),"NA"))</f>
        <v>9</v>
      </c>
      <c r="L157" s="66">
        <f>IF(Valor_normalizado!L140=0,32,IFERROR(RANK(Valor_normalizado!L140,Valor_normalizado!L$130:L$161,0),"NA"))</f>
        <v>9</v>
      </c>
      <c r="M157" s="66">
        <f>IF(Valor_normalizado!M140=0,32,IFERROR(RANK(Valor_normalizado!M140,Valor_normalizado!M$130:M$161,0),"NA"))</f>
        <v>14</v>
      </c>
      <c r="N157" s="66">
        <f>IF(Valor_normalizado!N140=0,32,IFERROR(RANK(Valor_normalizado!N140,Valor_normalizado!N$130:N$161,0),"NA"))</f>
        <v>32</v>
      </c>
      <c r="O157" s="66">
        <f>IF(Valor_normalizado!O140=0,32,IFERROR(RANK(Valor_normalizado!O140,Valor_normalizado!O$130:O$161,0),"NA"))</f>
        <v>17</v>
      </c>
      <c r="P157" s="66">
        <f>IF(Valor_normalizado!P140=0,32,IFERROR(RANK(Valor_normalizado!P140,Valor_normalizado!P$130:P$161,0),"NA"))</f>
        <v>4</v>
      </c>
      <c r="Q157" s="66">
        <f>IF(Valor_normalizado!Q140=0,32,IFERROR(RANK(Valor_normalizado!Q140,Valor_normalizado!Q$130:Q$161,0),"NA"))</f>
        <v>20</v>
      </c>
      <c r="R157" s="66">
        <f>IF(Valor_normalizado!R140=0,32,IFERROR(RANK(Valor_normalizado!R140,Valor_normalizado!R$130:R$161,0),"NA"))</f>
        <v>15</v>
      </c>
      <c r="S157" s="66">
        <f>IF(Valor_normalizado!S140=0,32,IFERROR(RANK(Valor_normalizado!S140,Valor_normalizado!S$130:S$161,0),"NA"))</f>
        <v>12</v>
      </c>
      <c r="T157" s="66">
        <f>IF(Valor_normalizado!T140=0,32,IFERROR(RANK(Valor_normalizado!T140,Valor_normalizado!T$130:T$161,0),"NA"))</f>
        <v>10</v>
      </c>
      <c r="U157" s="66">
        <f>IF(Valor_normalizado!U140=0,32,IFERROR(RANK(Valor_normalizado!U140,Valor_normalizado!U$130:U$161,0),"NA"))</f>
        <v>1</v>
      </c>
      <c r="V157" s="66">
        <f>IF(Valor_normalizado!V140=0,32,IFERROR(RANK(Valor_normalizado!V140,Valor_normalizado!V$130:V$161,0),"NA"))</f>
        <v>11</v>
      </c>
      <c r="W157" s="66">
        <f>IF(Valor_normalizado!W140=0,32,IFERROR(RANK(Valor_normalizado!W140,Valor_normalizado!W$130:W$161,0),"NA"))</f>
        <v>6</v>
      </c>
      <c r="X157" s="66">
        <f>IF(Valor_normalizado!X140=0,32,IFERROR(RANK(Valor_normalizado!X140,Valor_normalizado!X$130:X$161,0),"NA"))</f>
        <v>11</v>
      </c>
      <c r="Y157" s="66">
        <f>IF(Valor_normalizado!Y140=0,32,IFERROR(RANK(Valor_normalizado!Y140,Valor_normalizado!Y$130:Y$161,0),"NA"))</f>
        <v>14</v>
      </c>
    </row>
    <row r="158" ht="14.25" hidden="1" customHeight="1">
      <c r="A158" s="49" t="s">
        <v>329</v>
      </c>
      <c r="B158" s="52">
        <v>2023.0</v>
      </c>
      <c r="C158" s="66">
        <f>IF(Valor_normalizado!C130=0,32,IFERROR(RANK(Valor_normalizado!C130,Valor_normalizado!C$130:C$161,0),"NA"))</f>
        <v>10</v>
      </c>
      <c r="D158" s="66">
        <f>IF(Valor_normalizado!D130=0,32,IFERROR(RANK(Valor_normalizado!D130,Valor_normalizado!D$130:D$161,0),"NA"))</f>
        <v>7</v>
      </c>
      <c r="E158" s="66">
        <f>IF(Valor_normalizado!E130=0,32,IFERROR(RANK(Valor_normalizado!E130,Valor_normalizado!E$130:E$161,0),"NA"))</f>
        <v>2</v>
      </c>
      <c r="F158" s="66">
        <f>IF(Valor_normalizado!F130=0,32,IFERROR(RANK(Valor_normalizado!F130,Valor_normalizado!F$130:F$161,0),"NA"))</f>
        <v>7</v>
      </c>
      <c r="G158" s="66">
        <f>IF(Valor_normalizado!G130=0,32,IFERROR(RANK(Valor_normalizado!G130,Valor_normalizado!G$130:G$161,0),"NA"))</f>
        <v>7</v>
      </c>
      <c r="H158" s="66">
        <f>IF(Valor_normalizado!H130=0,32,IFERROR(RANK(Valor_normalizado!H130,Valor_normalizado!H$130:H$161,0),"NA"))</f>
        <v>6</v>
      </c>
      <c r="I158" s="66">
        <f>IF(Valor_normalizado!I130=0,32,IFERROR(RANK(Valor_normalizado!I130,Valor_normalizado!I$130:I$161,0),"NA"))</f>
        <v>3</v>
      </c>
      <c r="J158" s="66">
        <f>IF(Valor_normalizado!J130=0,32,IFERROR(RANK(Valor_normalizado!J130,Valor_normalizado!J$130:J$161,0),"NA"))</f>
        <v>3</v>
      </c>
      <c r="K158" s="66">
        <f>IF(Valor_normalizado!K130=0,32,IFERROR(RANK(Valor_normalizado!K130,Valor_normalizado!K$130:K$161,0),"NA"))</f>
        <v>3</v>
      </c>
      <c r="L158" s="66">
        <f>IF(Valor_normalizado!L130=0,32,IFERROR(RANK(Valor_normalizado!L130,Valor_normalizado!L$130:L$161,0),"NA"))</f>
        <v>3</v>
      </c>
      <c r="M158" s="66">
        <f>IF(Valor_normalizado!M130=0,32,IFERROR(RANK(Valor_normalizado!M130,Valor_normalizado!M$130:M$161,0),"NA"))</f>
        <v>2</v>
      </c>
      <c r="N158" s="66">
        <f>IF(Valor_normalizado!N130=0,32,IFERROR(RANK(Valor_normalizado!N130,Valor_normalizado!N$130:N$161,0),"NA"))</f>
        <v>2</v>
      </c>
      <c r="O158" s="66">
        <f>IF(Valor_normalizado!O130=0,32,IFERROR(RANK(Valor_normalizado!O130,Valor_normalizado!O$130:O$161,0),"NA"))</f>
        <v>2</v>
      </c>
      <c r="P158" s="66">
        <f>IF(Valor_normalizado!P130=0,32,IFERROR(RANK(Valor_normalizado!P130,Valor_normalizado!P$130:P$161,0),"NA"))</f>
        <v>16</v>
      </c>
      <c r="Q158" s="66">
        <f>IF(Valor_normalizado!Q130=0,32,IFERROR(RANK(Valor_normalizado!Q130,Valor_normalizado!Q$130:Q$161,0),"NA"))</f>
        <v>3</v>
      </c>
      <c r="R158" s="66">
        <f>IF(Valor_normalizado!R130=0,32,IFERROR(RANK(Valor_normalizado!R130,Valor_normalizado!R$130:R$161,0),"NA"))</f>
        <v>2</v>
      </c>
      <c r="S158" s="66">
        <f>IF(Valor_normalizado!S130=0,32,IFERROR(RANK(Valor_normalizado!S130,Valor_normalizado!S$130:S$161,0),"NA"))</f>
        <v>4</v>
      </c>
      <c r="T158" s="66">
        <f>IF(Valor_normalizado!T130=0,32,IFERROR(RANK(Valor_normalizado!T130,Valor_normalizado!T$130:T$161,0),"NA"))</f>
        <v>3</v>
      </c>
      <c r="U158" s="66">
        <f>IF(Valor_normalizado!U130=0,32,IFERROR(RANK(Valor_normalizado!U130,Valor_normalizado!U$130:U$161,0),"NA"))</f>
        <v>5</v>
      </c>
      <c r="V158" s="66">
        <f>IF(Valor_normalizado!V130=0,32,IFERROR(RANK(Valor_normalizado!V130,Valor_normalizado!V$130:V$161,0),"NA"))</f>
        <v>5</v>
      </c>
      <c r="W158" s="66">
        <f>IF(Valor_normalizado!W130=0,32,IFERROR(RANK(Valor_normalizado!W130,Valor_normalizado!W$130:W$161,0),"NA"))</f>
        <v>4</v>
      </c>
      <c r="X158" s="66">
        <f>IF(Valor_normalizado!X130=0,32,IFERROR(RANK(Valor_normalizado!X130,Valor_normalizado!X$130:X$161,0),"NA"))</f>
        <v>1</v>
      </c>
      <c r="Y158" s="66">
        <f>IF(Valor_normalizado!Y130=0,32,IFERROR(RANK(Valor_normalizado!Y130,Valor_normalizado!Y$130:Y$161,0),"NA"))</f>
        <v>5</v>
      </c>
    </row>
    <row r="159" ht="14.25" hidden="1" customHeight="1">
      <c r="A159" s="51" t="s">
        <v>333</v>
      </c>
      <c r="B159" s="23">
        <v>2023.0</v>
      </c>
      <c r="C159" s="66">
        <f>IF(Valor_normalizado!C151=0,32,IFERROR(RANK(Valor_normalizado!C151,Valor_normalizado!C$130:C$161,0),"NA"))</f>
        <v>15</v>
      </c>
      <c r="D159" s="66">
        <f>IF(Valor_normalizado!D151=0,32,IFERROR(RANK(Valor_normalizado!D151,Valor_normalizado!D$130:D$161,0),"NA"))</f>
        <v>23</v>
      </c>
      <c r="E159" s="66">
        <f>IF(Valor_normalizado!E151=0,32,IFERROR(RANK(Valor_normalizado!E151,Valor_normalizado!E$130:E$161,0),"NA"))</f>
        <v>17</v>
      </c>
      <c r="F159" s="66">
        <f>IF(Valor_normalizado!F151=0,32,IFERROR(RANK(Valor_normalizado!F151,Valor_normalizado!F$130:F$161,0),"NA"))</f>
        <v>6</v>
      </c>
      <c r="G159" s="66">
        <f>IF(Valor_normalizado!G151=0,32,IFERROR(RANK(Valor_normalizado!G151,Valor_normalizado!G$130:G$161,0),"NA"))</f>
        <v>16</v>
      </c>
      <c r="H159" s="66">
        <f>IF(Valor_normalizado!H151=0,32,IFERROR(RANK(Valor_normalizado!H151,Valor_normalizado!H$130:H$161,0),"NA"))</f>
        <v>22</v>
      </c>
      <c r="I159" s="66">
        <f>IF(Valor_normalizado!I151=0,32,IFERROR(RANK(Valor_normalizado!I151,Valor_normalizado!I$130:I$161,0),"NA"))</f>
        <v>15</v>
      </c>
      <c r="J159" s="66">
        <f>IF(Valor_normalizado!J151=0,32,IFERROR(RANK(Valor_normalizado!J151,Valor_normalizado!J$130:J$161,0),"NA"))</f>
        <v>27</v>
      </c>
      <c r="K159" s="66">
        <f>IF(Valor_normalizado!K151=0,32,IFERROR(RANK(Valor_normalizado!K151,Valor_normalizado!K$130:K$161,0),"NA"))</f>
        <v>23</v>
      </c>
      <c r="L159" s="66">
        <f>IF(Valor_normalizado!L151=0,32,IFERROR(RANK(Valor_normalizado!L151,Valor_normalizado!L$130:L$161,0),"NA"))</f>
        <v>18</v>
      </c>
      <c r="M159" s="66">
        <f>IF(Valor_normalizado!M151=0,32,IFERROR(RANK(Valor_normalizado!M151,Valor_normalizado!M$130:M$161,0),"NA"))</f>
        <v>26</v>
      </c>
      <c r="N159" s="66">
        <f>IF(Valor_normalizado!N151=0,32,IFERROR(RANK(Valor_normalizado!N151,Valor_normalizado!N$130:N$161,0),"NA"))</f>
        <v>32</v>
      </c>
      <c r="O159" s="66">
        <f>IF(Valor_normalizado!O151=0,32,IFERROR(RANK(Valor_normalizado!O151,Valor_normalizado!O$130:O$161,0),"NA"))</f>
        <v>25</v>
      </c>
      <c r="P159" s="66">
        <f>IF(Valor_normalizado!P151=0,32,IFERROR(RANK(Valor_normalizado!P151,Valor_normalizado!P$130:P$161,0),"NA"))</f>
        <v>32</v>
      </c>
      <c r="Q159" s="66">
        <f>IF(Valor_normalizado!Q151=0,32,IFERROR(RANK(Valor_normalizado!Q151,Valor_normalizado!Q$130:Q$161,0),"NA"))</f>
        <v>32</v>
      </c>
      <c r="R159" s="66">
        <f>IF(Valor_normalizado!R151=0,32,IFERROR(RANK(Valor_normalizado!R151,Valor_normalizado!R$130:R$161,0),"NA"))</f>
        <v>27</v>
      </c>
      <c r="S159" s="66">
        <f>IF(Valor_normalizado!S151=0,32,IFERROR(RANK(Valor_normalizado!S151,Valor_normalizado!S$130:S$161,0),"NA"))</f>
        <v>32</v>
      </c>
      <c r="T159" s="66">
        <f>IF(Valor_normalizado!T151=0,32,IFERROR(RANK(Valor_normalizado!T151,Valor_normalizado!T$130:T$161,0),"NA"))</f>
        <v>16</v>
      </c>
      <c r="U159" s="66">
        <f>IF(Valor_normalizado!U151=0,32,IFERROR(RANK(Valor_normalizado!U151,Valor_normalizado!U$130:U$161,0),"NA"))</f>
        <v>2</v>
      </c>
      <c r="V159" s="66">
        <f>IF(Valor_normalizado!V151=0,32,IFERROR(RANK(Valor_normalizado!V151,Valor_normalizado!V$130:V$161,0),"NA"))</f>
        <v>18</v>
      </c>
      <c r="W159" s="66">
        <f>IF(Valor_normalizado!W151=0,32,IFERROR(RANK(Valor_normalizado!W151,Valor_normalizado!W$130:W$161,0),"NA"))</f>
        <v>14</v>
      </c>
      <c r="X159" s="66">
        <f>IF(Valor_normalizado!X151=0,32,IFERROR(RANK(Valor_normalizado!X151,Valor_normalizado!X$130:X$161,0),"NA"))</f>
        <v>22</v>
      </c>
      <c r="Y159" s="66">
        <f>IF(Valor_normalizado!Y151=0,32,IFERROR(RANK(Valor_normalizado!Y151,Valor_normalizado!Y$130:Y$161,0),"NA"))</f>
        <v>19</v>
      </c>
    </row>
    <row r="160" ht="14.25" hidden="1" customHeight="1">
      <c r="A160" s="51" t="s">
        <v>335</v>
      </c>
      <c r="B160" s="23">
        <v>2023.0</v>
      </c>
      <c r="C160" s="66">
        <f>IF(Valor_normalizado!C141=0,32,IFERROR(RANK(Valor_normalizado!C141,Valor_normalizado!C$130:C$161,0),"NA"))</f>
        <v>6</v>
      </c>
      <c r="D160" s="66">
        <f>IF(Valor_normalizado!D141=0,32,IFERROR(RANK(Valor_normalizado!D141,Valor_normalizado!D$130:D$161,0),"NA"))</f>
        <v>22</v>
      </c>
      <c r="E160" s="66">
        <f>IF(Valor_normalizado!E141=0,32,IFERROR(RANK(Valor_normalizado!E141,Valor_normalizado!E$130:E$161,0),"NA"))</f>
        <v>14</v>
      </c>
      <c r="F160" s="66">
        <f>IF(Valor_normalizado!F141=0,32,IFERROR(RANK(Valor_normalizado!F141,Valor_normalizado!F$130:F$161,0),"NA"))</f>
        <v>16</v>
      </c>
      <c r="G160" s="66">
        <f>IF(Valor_normalizado!G141=0,32,IFERROR(RANK(Valor_normalizado!G141,Valor_normalizado!G$130:G$161,0),"NA"))</f>
        <v>13</v>
      </c>
      <c r="H160" s="66">
        <f>IF(Valor_normalizado!H141=0,32,IFERROR(RANK(Valor_normalizado!H141,Valor_normalizado!H$130:H$161,0),"NA"))</f>
        <v>11</v>
      </c>
      <c r="I160" s="66">
        <f>IF(Valor_normalizado!I141=0,32,IFERROR(RANK(Valor_normalizado!I141,Valor_normalizado!I$130:I$161,0),"NA"))</f>
        <v>12</v>
      </c>
      <c r="J160" s="66">
        <f>IF(Valor_normalizado!J141=0,32,IFERROR(RANK(Valor_normalizado!J141,Valor_normalizado!J$130:J$161,0),"NA"))</f>
        <v>21</v>
      </c>
      <c r="K160" s="66">
        <f>IF(Valor_normalizado!K141=0,32,IFERROR(RANK(Valor_normalizado!K141,Valor_normalizado!K$130:K$161,0),"NA"))</f>
        <v>14</v>
      </c>
      <c r="L160" s="66">
        <f>IF(Valor_normalizado!L141=0,32,IFERROR(RANK(Valor_normalizado!L141,Valor_normalizado!L$130:L$161,0),"NA"))</f>
        <v>13</v>
      </c>
      <c r="M160" s="66">
        <f>IF(Valor_normalizado!M141=0,32,IFERROR(RANK(Valor_normalizado!M141,Valor_normalizado!M$130:M$161,0),"NA"))</f>
        <v>18</v>
      </c>
      <c r="N160" s="66">
        <f>IF(Valor_normalizado!N141=0,32,IFERROR(RANK(Valor_normalizado!N141,Valor_normalizado!N$130:N$161,0),"NA"))</f>
        <v>32</v>
      </c>
      <c r="O160" s="66">
        <f>IF(Valor_normalizado!O141=0,32,IFERROR(RANK(Valor_normalizado!O141,Valor_normalizado!O$130:O$161,0),"NA"))</f>
        <v>16</v>
      </c>
      <c r="P160" s="66">
        <f>IF(Valor_normalizado!P141=0,32,IFERROR(RANK(Valor_normalizado!P141,Valor_normalizado!P$130:P$161,0),"NA"))</f>
        <v>7</v>
      </c>
      <c r="Q160" s="66">
        <f>IF(Valor_normalizado!Q141=0,32,IFERROR(RANK(Valor_normalizado!Q141,Valor_normalizado!Q$130:Q$161,0),"NA"))</f>
        <v>12</v>
      </c>
      <c r="R160" s="66">
        <f>IF(Valor_normalizado!R141=0,32,IFERROR(RANK(Valor_normalizado!R141,Valor_normalizado!R$130:R$161,0),"NA"))</f>
        <v>14</v>
      </c>
      <c r="S160" s="66">
        <f>IF(Valor_normalizado!S141=0,32,IFERROR(RANK(Valor_normalizado!S141,Valor_normalizado!S$130:S$161,0),"NA"))</f>
        <v>6</v>
      </c>
      <c r="T160" s="66">
        <f>IF(Valor_normalizado!T141=0,32,IFERROR(RANK(Valor_normalizado!T141,Valor_normalizado!T$130:T$161,0),"NA"))</f>
        <v>8</v>
      </c>
      <c r="U160" s="66">
        <f>IF(Valor_normalizado!U141=0,32,IFERROR(RANK(Valor_normalizado!U141,Valor_normalizado!U$130:U$161,0),"NA"))</f>
        <v>15</v>
      </c>
      <c r="V160" s="66">
        <f>IF(Valor_normalizado!V141=0,32,IFERROR(RANK(Valor_normalizado!V141,Valor_normalizado!V$130:V$161,0),"NA"))</f>
        <v>16</v>
      </c>
      <c r="W160" s="66">
        <f>IF(Valor_normalizado!W141=0,32,IFERROR(RANK(Valor_normalizado!W141,Valor_normalizado!W$130:W$161,0),"NA"))</f>
        <v>12</v>
      </c>
      <c r="X160" s="66">
        <f>IF(Valor_normalizado!X141=0,32,IFERROR(RANK(Valor_normalizado!X141,Valor_normalizado!X$130:X$161,0),"NA"))</f>
        <v>12</v>
      </c>
      <c r="Y160" s="66">
        <f>IF(Valor_normalizado!Y141=0,32,IFERROR(RANK(Valor_normalizado!Y141,Valor_normalizado!Y$130:Y$161,0),"NA"))</f>
        <v>12</v>
      </c>
    </row>
    <row r="161" ht="14.25" hidden="1" customHeight="1">
      <c r="A161" s="49" t="s">
        <v>336</v>
      </c>
      <c r="B161" s="23">
        <v>2023.0</v>
      </c>
      <c r="C161" s="66">
        <f>IF(Valor_normalizado!C144=0,32,IFERROR(RANK(Valor_normalizado!C144,Valor_normalizado!C$130:C$161,0),"NA"))</f>
        <v>11</v>
      </c>
      <c r="D161" s="66">
        <f>IF(Valor_normalizado!D144=0,32,IFERROR(RANK(Valor_normalizado!D144,Valor_normalizado!D$130:D$161,0),"NA"))</f>
        <v>17</v>
      </c>
      <c r="E161" s="66">
        <f>IF(Valor_normalizado!E144=0,32,IFERROR(RANK(Valor_normalizado!E144,Valor_normalizado!E$130:E$161,0),"NA"))</f>
        <v>9</v>
      </c>
      <c r="F161" s="66">
        <f>IF(Valor_normalizado!F144=0,32,IFERROR(RANK(Valor_normalizado!F144,Valor_normalizado!F$130:F$161,0),"NA"))</f>
        <v>12</v>
      </c>
      <c r="G161" s="66">
        <f>IF(Valor_normalizado!G144=0,32,IFERROR(RANK(Valor_normalizado!G144,Valor_normalizado!G$130:G$161,0),"NA"))</f>
        <v>12</v>
      </c>
      <c r="H161" s="66">
        <f>IF(Valor_normalizado!H144=0,32,IFERROR(RANK(Valor_normalizado!H144,Valor_normalizado!H$130:H$161,0),"NA"))</f>
        <v>9</v>
      </c>
      <c r="I161" s="66">
        <f>IF(Valor_normalizado!I144=0,32,IFERROR(RANK(Valor_normalizado!I144,Valor_normalizado!I$130:I$161,0),"NA"))</f>
        <v>8</v>
      </c>
      <c r="J161" s="66">
        <f>IF(Valor_normalizado!J144=0,32,IFERROR(RANK(Valor_normalizado!J144,Valor_normalizado!J$130:J$161,0),"NA"))</f>
        <v>20</v>
      </c>
      <c r="K161" s="66">
        <f>IF(Valor_normalizado!K144=0,32,IFERROR(RANK(Valor_normalizado!K144,Valor_normalizado!K$130:K$161,0),"NA"))</f>
        <v>11</v>
      </c>
      <c r="L161" s="66">
        <f>IF(Valor_normalizado!L144=0,32,IFERROR(RANK(Valor_normalizado!L144,Valor_normalizado!L$130:L$161,0),"NA"))</f>
        <v>12</v>
      </c>
      <c r="M161" s="66">
        <f>IF(Valor_normalizado!M144=0,32,IFERROR(RANK(Valor_normalizado!M144,Valor_normalizado!M$130:M$161,0),"NA"))</f>
        <v>20</v>
      </c>
      <c r="N161" s="66">
        <f>IF(Valor_normalizado!N144=0,32,IFERROR(RANK(Valor_normalizado!N144,Valor_normalizado!N$130:N$161,0),"NA"))</f>
        <v>7</v>
      </c>
      <c r="O161" s="66">
        <f>IF(Valor_normalizado!O144=0,32,IFERROR(RANK(Valor_normalizado!O144,Valor_normalizado!O$130:O$161,0),"NA"))</f>
        <v>8</v>
      </c>
      <c r="P161" s="66">
        <f>IF(Valor_normalizado!P144=0,32,IFERROR(RANK(Valor_normalizado!P144,Valor_normalizado!P$130:P$161,0),"NA"))</f>
        <v>21</v>
      </c>
      <c r="Q161" s="66">
        <f>IF(Valor_normalizado!Q144=0,32,IFERROR(RANK(Valor_normalizado!Q144,Valor_normalizado!Q$130:Q$161,0),"NA"))</f>
        <v>18</v>
      </c>
      <c r="R161" s="66">
        <f>IF(Valor_normalizado!R144=0,32,IFERROR(RANK(Valor_normalizado!R144,Valor_normalizado!R$130:R$161,0),"NA"))</f>
        <v>13</v>
      </c>
      <c r="S161" s="66">
        <f>IF(Valor_normalizado!S144=0,32,IFERROR(RANK(Valor_normalizado!S144,Valor_normalizado!S$130:S$161,0),"NA"))</f>
        <v>13</v>
      </c>
      <c r="T161" s="66">
        <f>IF(Valor_normalizado!T144=0,32,IFERROR(RANK(Valor_normalizado!T144,Valor_normalizado!T$130:T$161,0),"NA"))</f>
        <v>19</v>
      </c>
      <c r="U161" s="66">
        <f>IF(Valor_normalizado!U144=0,32,IFERROR(RANK(Valor_normalizado!U144,Valor_normalizado!U$130:U$161,0),"NA"))</f>
        <v>20</v>
      </c>
      <c r="V161" s="66">
        <f>IF(Valor_normalizado!V144=0,32,IFERROR(RANK(Valor_normalizado!V144,Valor_normalizado!V$130:V$161,0),"NA"))</f>
        <v>13</v>
      </c>
      <c r="W161" s="66">
        <f>IF(Valor_normalizado!W144=0,32,IFERROR(RANK(Valor_normalizado!W144,Valor_normalizado!W$130:W$161,0),"NA"))</f>
        <v>19</v>
      </c>
      <c r="X161" s="66">
        <f>IF(Valor_normalizado!X144=0,32,IFERROR(RANK(Valor_normalizado!X144,Valor_normalizado!X$130:X$161,0),"NA"))</f>
        <v>15</v>
      </c>
      <c r="Y161" s="66">
        <f>IF(Valor_normalizado!Y144=0,32,IFERROR(RANK(Valor_normalizado!Y144,Valor_normalizado!Y$130:Y$161,0),"NA"))</f>
        <v>13</v>
      </c>
    </row>
    <row r="162" ht="14.25" hidden="1" customHeight="1">
      <c r="A162" s="49" t="s">
        <v>329</v>
      </c>
      <c r="B162" s="52">
        <v>2024.0</v>
      </c>
      <c r="C162" s="66">
        <f>IF(Valor_normalizado!C162=0,32,IFERROR(RANK(Valor_normalizado!C162,Valor_normalizado!C$162:C$193,0),"NA"))</f>
        <v>4</v>
      </c>
      <c r="D162" s="66">
        <f>IF(Valor_normalizado!D162=0,32,IFERROR(RANK(Valor_normalizado!D162,Valor_normalizado!D$162:D$193,0),"NA"))</f>
        <v>5</v>
      </c>
      <c r="E162" s="66">
        <f>IF(Valor_normalizado!E162=0,32,IFERROR(RANK(Valor_normalizado!E162,Valor_normalizado!E$162:E$193,0),"NA"))</f>
        <v>1</v>
      </c>
      <c r="F162" s="66">
        <f>IF(Valor_normalizado!F162=0,32,IFERROR(RANK(Valor_normalizado!F162,Valor_normalizado!F$162:F$193,0),"NA"))</f>
        <v>4</v>
      </c>
      <c r="G162" s="66">
        <f>IF(Valor_normalizado!G162=0,32,IFERROR(RANK(Valor_normalizado!G162,Valor_normalizado!G$162:G$193,0),"NA"))</f>
        <v>1</v>
      </c>
      <c r="H162" s="66">
        <f>IF(Valor_normalizado!H162=0,32,IFERROR(RANK(Valor_normalizado!H162,Valor_normalizado!H$162:H$193,0),"NA"))</f>
        <v>1</v>
      </c>
      <c r="I162" s="66">
        <f>IF(Valor_normalizado!I162=0,32,IFERROR(RANK(Valor_normalizado!I162,Valor_normalizado!I$162:I$193,0),"NA"))</f>
        <v>2</v>
      </c>
      <c r="J162" s="66">
        <f>IF(Valor_normalizado!J162=0,32,IFERROR(RANK(Valor_normalizado!J162,Valor_normalizado!J$162:J$193,0),"NA"))</f>
        <v>2</v>
      </c>
      <c r="K162" s="66">
        <f>IF(Valor_normalizado!K162=0,32,IFERROR(RANK(Valor_normalizado!K162,Valor_normalizado!K$162:K$193,0),"NA"))</f>
        <v>1</v>
      </c>
      <c r="L162" s="66">
        <f>IF(Valor_normalizado!L162=0,32,IFERROR(RANK(Valor_normalizado!L162,Valor_normalizado!L$162:L$193,0),"NA"))</f>
        <v>1</v>
      </c>
      <c r="M162" s="66">
        <f>IF(Valor_normalizado!M162=0,32,IFERROR(RANK(Valor_normalizado!M162,Valor_normalizado!M$162:M$193,0),"NA"))</f>
        <v>4</v>
      </c>
      <c r="N162" s="66">
        <f>IF(Valor_normalizado!N162=0,32,IFERROR(RANK(Valor_normalizado!N162,Valor_normalizado!N$162:N$193,0),"NA"))</f>
        <v>3</v>
      </c>
      <c r="O162" s="66">
        <f>IF(Valor_normalizado!O162=0,32,IFERROR(RANK(Valor_normalizado!O162,Valor_normalizado!O$162:O$193,0),"NA"))</f>
        <v>4</v>
      </c>
      <c r="P162" s="66">
        <f>IF(Valor_normalizado!P162=0,32,IFERROR(RANK(Valor_normalizado!P162,Valor_normalizado!P$162:P$193,0),"NA"))</f>
        <v>1</v>
      </c>
      <c r="Q162" s="66">
        <f>IF(Valor_normalizado!Q162=0,32,IFERROR(RANK(Valor_normalizado!Q162,Valor_normalizado!Q$162:Q$193,0),"NA"))</f>
        <v>16</v>
      </c>
      <c r="R162" s="66">
        <f>IF(Valor_normalizado!R162=0,32,IFERROR(RANK(Valor_normalizado!R162,Valor_normalizado!R$162:R$193,0),"NA"))</f>
        <v>3</v>
      </c>
      <c r="S162" s="66">
        <f>IF(Valor_normalizado!S162=0,32,IFERROR(RANK(Valor_normalizado!S162,Valor_normalizado!S$162:S$193,0),"NA"))</f>
        <v>2</v>
      </c>
      <c r="T162" s="66">
        <f>IF(Valor_normalizado!T162=0,32,IFERROR(RANK(Valor_normalizado!T162,Valor_normalizado!T$162:T$193,0),"NA"))</f>
        <v>3</v>
      </c>
      <c r="U162" s="66">
        <f>IF(Valor_normalizado!U162=0,32,IFERROR(RANK(Valor_normalizado!U162,Valor_normalizado!U$162:U$193,0),"NA"))</f>
        <v>8</v>
      </c>
      <c r="V162" s="66">
        <f>IF(Valor_normalizado!V162=0,32,IFERROR(RANK(Valor_normalizado!V162,Valor_normalizado!V$162:V$193,0),"NA"))</f>
        <v>2</v>
      </c>
      <c r="W162" s="66">
        <f>IF(Valor_normalizado!W162=0,32,IFERROR(RANK(Valor_normalizado!W162,Valor_normalizado!W$162:W$193,0),"NA"))</f>
        <v>2</v>
      </c>
      <c r="X162" s="66">
        <f>IF(Valor_normalizado!X162=0,32,IFERROR(RANK(Valor_normalizado!X162,Valor_normalizado!X$162:X$193,0),"NA"))</f>
        <v>1</v>
      </c>
      <c r="Y162" s="66">
        <f>IF(Valor_normalizado!Y162=0,32,IFERROR(RANK(Valor_normalizado!Y162,Valor_normalizado!Y$162:Y$193,0),"NA"))</f>
        <v>1</v>
      </c>
    </row>
    <row r="163" ht="14.25" hidden="1" customHeight="1">
      <c r="A163" s="51" t="s">
        <v>306</v>
      </c>
      <c r="B163" s="23">
        <v>2024.0</v>
      </c>
      <c r="C163" s="66">
        <f>IF(Valor_normalizado!C163=0,32,IFERROR(RANK(Valor_normalizado!C163,Valor_normalizado!C$162:C$193,0),"NA"))</f>
        <v>5</v>
      </c>
      <c r="D163" s="66">
        <f>IF(Valor_normalizado!D163=0,32,IFERROR(RANK(Valor_normalizado!D163,Valor_normalizado!D$162:D$193,0),"NA"))</f>
        <v>10</v>
      </c>
      <c r="E163" s="66">
        <f>IF(Valor_normalizado!E163=0,32,IFERROR(RANK(Valor_normalizado!E163,Valor_normalizado!E$162:E$193,0),"NA"))</f>
        <v>3</v>
      </c>
      <c r="F163" s="66">
        <f>IF(Valor_normalizado!F163=0,32,IFERROR(RANK(Valor_normalizado!F163,Valor_normalizado!F$162:F$193,0),"NA"))</f>
        <v>21</v>
      </c>
      <c r="G163" s="66">
        <f>IF(Valor_normalizado!G163=0,32,IFERROR(RANK(Valor_normalizado!G163,Valor_normalizado!G$162:G$193,0),"NA"))</f>
        <v>8</v>
      </c>
      <c r="H163" s="66">
        <f>IF(Valor_normalizado!H163=0,32,IFERROR(RANK(Valor_normalizado!H163,Valor_normalizado!H$162:H$193,0),"NA"))</f>
        <v>2</v>
      </c>
      <c r="I163" s="66">
        <f>IF(Valor_normalizado!I163=0,32,IFERROR(RANK(Valor_normalizado!I163,Valor_normalizado!I$162:I$193,0),"NA"))</f>
        <v>1</v>
      </c>
      <c r="J163" s="66">
        <f>IF(Valor_normalizado!J163=0,32,IFERROR(RANK(Valor_normalizado!J163,Valor_normalizado!J$162:J$193,0),"NA"))</f>
        <v>1</v>
      </c>
      <c r="K163" s="66">
        <f>IF(Valor_normalizado!K163=0,32,IFERROR(RANK(Valor_normalizado!K163,Valor_normalizado!K$162:K$193,0),"NA"))</f>
        <v>2</v>
      </c>
      <c r="L163" s="66">
        <f>IF(Valor_normalizado!L163=0,32,IFERROR(RANK(Valor_normalizado!L163,Valor_normalizado!L$162:L$193,0),"NA"))</f>
        <v>2</v>
      </c>
      <c r="M163" s="66">
        <f>IF(Valor_normalizado!M163=0,32,IFERROR(RANK(Valor_normalizado!M163,Valor_normalizado!M$162:M$193,0),"NA"))</f>
        <v>1</v>
      </c>
      <c r="N163" s="66">
        <f>IF(Valor_normalizado!N163=0,32,IFERROR(RANK(Valor_normalizado!N163,Valor_normalizado!N$162:N$193,0),"NA"))</f>
        <v>1</v>
      </c>
      <c r="O163" s="66">
        <f>IF(Valor_normalizado!O163=0,32,IFERROR(RANK(Valor_normalizado!O163,Valor_normalizado!O$162:O$193,0),"NA"))</f>
        <v>1</v>
      </c>
      <c r="P163" s="66">
        <f>IF(Valor_normalizado!P163=0,32,IFERROR(RANK(Valor_normalizado!P163,Valor_normalizado!P$162:P$193,0),"NA"))</f>
        <v>12</v>
      </c>
      <c r="Q163" s="66">
        <f>IF(Valor_normalizado!Q163=0,32,IFERROR(RANK(Valor_normalizado!Q163,Valor_normalizado!Q$162:Q$193,0),"NA"))</f>
        <v>17</v>
      </c>
      <c r="R163" s="66">
        <f>IF(Valor_normalizado!R163=0,32,IFERROR(RANK(Valor_normalizado!R163,Valor_normalizado!R$162:R$193,0),"NA"))</f>
        <v>1</v>
      </c>
      <c r="S163" s="66">
        <f>IF(Valor_normalizado!S163=0,32,IFERROR(RANK(Valor_normalizado!S163,Valor_normalizado!S$162:S$193,0),"NA"))</f>
        <v>18</v>
      </c>
      <c r="T163" s="66">
        <f>IF(Valor_normalizado!T163=0,32,IFERROR(RANK(Valor_normalizado!T163,Valor_normalizado!T$162:T$193,0),"NA"))</f>
        <v>16</v>
      </c>
      <c r="U163" s="66">
        <f>IF(Valor_normalizado!U163=0,32,IFERROR(RANK(Valor_normalizado!U163,Valor_normalizado!U$162:U$193,0),"NA"))</f>
        <v>11</v>
      </c>
      <c r="V163" s="66">
        <f>IF(Valor_normalizado!V163=0,32,IFERROR(RANK(Valor_normalizado!V163,Valor_normalizado!V$162:V$193,0),"NA"))</f>
        <v>10</v>
      </c>
      <c r="W163" s="66">
        <f>IF(Valor_normalizado!W163=0,32,IFERROR(RANK(Valor_normalizado!W163,Valor_normalizado!W$162:W$193,0),"NA"))</f>
        <v>13</v>
      </c>
      <c r="X163" s="66">
        <f>IF(Valor_normalizado!X163=0,32,IFERROR(RANK(Valor_normalizado!X163,Valor_normalizado!X$162:X$193,0),"NA"))</f>
        <v>4</v>
      </c>
      <c r="Y163" s="66">
        <f>IF(Valor_normalizado!Y163=0,32,IFERROR(RANK(Valor_normalizado!Y163,Valor_normalizado!Y$162:Y$193,0),"NA"))</f>
        <v>3</v>
      </c>
    </row>
    <row r="164" ht="14.25" hidden="1" customHeight="1">
      <c r="A164" s="49" t="s">
        <v>320</v>
      </c>
      <c r="B164" s="23">
        <v>2024.0</v>
      </c>
      <c r="C164" s="66">
        <f>IF(Valor_normalizado!C164=0,32,IFERROR(RANK(Valor_normalizado!C164,Valor_normalizado!C$162:C$193,0),"NA"))</f>
        <v>1</v>
      </c>
      <c r="D164" s="66">
        <f>IF(Valor_normalizado!D164=0,32,IFERROR(RANK(Valor_normalizado!D164,Valor_normalizado!D$162:D$193,0),"NA"))</f>
        <v>1</v>
      </c>
      <c r="E164" s="66">
        <f>IF(Valor_normalizado!E164=0,32,IFERROR(RANK(Valor_normalizado!E164,Valor_normalizado!E$162:E$193,0),"NA"))</f>
        <v>7</v>
      </c>
      <c r="F164" s="66">
        <f>IF(Valor_normalizado!F164=0,32,IFERROR(RANK(Valor_normalizado!F164,Valor_normalizado!F$162:F$193,0),"NA"))</f>
        <v>5</v>
      </c>
      <c r="G164" s="66">
        <f>IF(Valor_normalizado!G164=0,32,IFERROR(RANK(Valor_normalizado!G164,Valor_normalizado!G$162:G$193,0),"NA"))</f>
        <v>2</v>
      </c>
      <c r="H164" s="66">
        <f>IF(Valor_normalizado!H164=0,32,IFERROR(RANK(Valor_normalizado!H164,Valor_normalizado!H$162:H$193,0),"NA"))</f>
        <v>8</v>
      </c>
      <c r="I164" s="66">
        <f>IF(Valor_normalizado!I164=0,32,IFERROR(RANK(Valor_normalizado!I164,Valor_normalizado!I$162:I$193,0),"NA"))</f>
        <v>8</v>
      </c>
      <c r="J164" s="66">
        <f>IF(Valor_normalizado!J164=0,32,IFERROR(RANK(Valor_normalizado!J164,Valor_normalizado!J$162:J$193,0),"NA"))</f>
        <v>3</v>
      </c>
      <c r="K164" s="66">
        <f>IF(Valor_normalizado!K164=0,32,IFERROR(RANK(Valor_normalizado!K164,Valor_normalizado!K$162:K$193,0),"NA"))</f>
        <v>5</v>
      </c>
      <c r="L164" s="66">
        <f>IF(Valor_normalizado!L164=0,32,IFERROR(RANK(Valor_normalizado!L164,Valor_normalizado!L$162:L$193,0),"NA"))</f>
        <v>3</v>
      </c>
      <c r="M164" s="66">
        <f>IF(Valor_normalizado!M164=0,32,IFERROR(RANK(Valor_normalizado!M164,Valor_normalizado!M$162:M$193,0),"NA"))</f>
        <v>3</v>
      </c>
      <c r="N164" s="66">
        <f>IF(Valor_normalizado!N164=0,32,IFERROR(RANK(Valor_normalizado!N164,Valor_normalizado!N$162:N$193,0),"NA"))</f>
        <v>5</v>
      </c>
      <c r="O164" s="66">
        <f>IF(Valor_normalizado!O164=0,32,IFERROR(RANK(Valor_normalizado!O164,Valor_normalizado!O$162:O$193,0),"NA"))</f>
        <v>5</v>
      </c>
      <c r="P164" s="66">
        <f>IF(Valor_normalizado!P164=0,32,IFERROR(RANK(Valor_normalizado!P164,Valor_normalizado!P$162:P$193,0),"NA"))</f>
        <v>5</v>
      </c>
      <c r="Q164" s="66">
        <f>IF(Valor_normalizado!Q164=0,32,IFERROR(RANK(Valor_normalizado!Q164,Valor_normalizado!Q$162:Q$193,0),"NA"))</f>
        <v>15</v>
      </c>
      <c r="R164" s="66">
        <f>IF(Valor_normalizado!R164=0,32,IFERROR(RANK(Valor_normalizado!R164,Valor_normalizado!R$162:R$193,0),"NA"))</f>
        <v>4</v>
      </c>
      <c r="S164" s="66">
        <f>IF(Valor_normalizado!S164=0,32,IFERROR(RANK(Valor_normalizado!S164,Valor_normalizado!S$162:S$193,0),"NA"))</f>
        <v>5</v>
      </c>
      <c r="T164" s="66">
        <f>IF(Valor_normalizado!T164=0,32,IFERROR(RANK(Valor_normalizado!T164,Valor_normalizado!T$162:T$193,0),"NA"))</f>
        <v>8</v>
      </c>
      <c r="U164" s="66">
        <f>IF(Valor_normalizado!U164=0,32,IFERROR(RANK(Valor_normalizado!U164,Valor_normalizado!U$162:U$193,0),"NA"))</f>
        <v>6</v>
      </c>
      <c r="V164" s="66">
        <f>IF(Valor_normalizado!V164=0,32,IFERROR(RANK(Valor_normalizado!V164,Valor_normalizado!V$162:V$193,0),"NA"))</f>
        <v>1</v>
      </c>
      <c r="W164" s="66">
        <f>IF(Valor_normalizado!W164=0,32,IFERROR(RANK(Valor_normalizado!W164,Valor_normalizado!W$162:W$193,0),"NA"))</f>
        <v>3</v>
      </c>
      <c r="X164" s="66">
        <f>IF(Valor_normalizado!X164=0,32,IFERROR(RANK(Valor_normalizado!X164,Valor_normalizado!X$162:X$193,0),"NA"))</f>
        <v>3</v>
      </c>
      <c r="Y164" s="66">
        <f>IF(Valor_normalizado!Y164=0,32,IFERROR(RANK(Valor_normalizado!Y164,Valor_normalizado!Y$162:Y$193,0),"NA"))</f>
        <v>2</v>
      </c>
    </row>
    <row r="165" ht="14.25" hidden="1" customHeight="1">
      <c r="A165" s="51" t="s">
        <v>305</v>
      </c>
      <c r="B165" s="23">
        <v>2024.0</v>
      </c>
      <c r="C165" s="66">
        <f>IF(Valor_normalizado!C165=0,32,IFERROR(RANK(Valor_normalizado!C165,Valor_normalizado!C$162:C$193,0),"NA"))</f>
        <v>10</v>
      </c>
      <c r="D165" s="66">
        <f>IF(Valor_normalizado!D165=0,32,IFERROR(RANK(Valor_normalizado!D165,Valor_normalizado!D$162:D$193,0),"NA"))</f>
        <v>3</v>
      </c>
      <c r="E165" s="66">
        <f>IF(Valor_normalizado!E165=0,32,IFERROR(RANK(Valor_normalizado!E165,Valor_normalizado!E$162:E$193,0),"NA"))</f>
        <v>2</v>
      </c>
      <c r="F165" s="66">
        <f>IF(Valor_normalizado!F165=0,32,IFERROR(RANK(Valor_normalizado!F165,Valor_normalizado!F$162:F$193,0),"NA"))</f>
        <v>8</v>
      </c>
      <c r="G165" s="66">
        <f>IF(Valor_normalizado!G165=0,32,IFERROR(RANK(Valor_normalizado!G165,Valor_normalizado!G$162:G$193,0),"NA"))</f>
        <v>5</v>
      </c>
      <c r="H165" s="66">
        <f>IF(Valor_normalizado!H165=0,32,IFERROR(RANK(Valor_normalizado!H165,Valor_normalizado!H$162:H$193,0),"NA"))</f>
        <v>6</v>
      </c>
      <c r="I165" s="66">
        <f>IF(Valor_normalizado!I165=0,32,IFERROR(RANK(Valor_normalizado!I165,Valor_normalizado!I$162:I$193,0),"NA"))</f>
        <v>3</v>
      </c>
      <c r="J165" s="66">
        <f>IF(Valor_normalizado!J165=0,32,IFERROR(RANK(Valor_normalizado!J165,Valor_normalizado!J$162:J$193,0),"NA"))</f>
        <v>4</v>
      </c>
      <c r="K165" s="66">
        <f>IF(Valor_normalizado!K165=0,32,IFERROR(RANK(Valor_normalizado!K165,Valor_normalizado!K$162:K$193,0),"NA"))</f>
        <v>3</v>
      </c>
      <c r="L165" s="66">
        <f>IF(Valor_normalizado!L165=0,32,IFERROR(RANK(Valor_normalizado!L165,Valor_normalizado!L$162:L$193,0),"NA"))</f>
        <v>4</v>
      </c>
      <c r="M165" s="66">
        <f>IF(Valor_normalizado!M165=0,32,IFERROR(RANK(Valor_normalizado!M165,Valor_normalizado!M$162:M$193,0),"NA"))</f>
        <v>2</v>
      </c>
      <c r="N165" s="66">
        <f>IF(Valor_normalizado!N165=0,32,IFERROR(RANK(Valor_normalizado!N165,Valor_normalizado!N$162:N$193,0),"NA"))</f>
        <v>2</v>
      </c>
      <c r="O165" s="66">
        <f>IF(Valor_normalizado!O165=0,32,IFERROR(RANK(Valor_normalizado!O165,Valor_normalizado!O$162:O$193,0),"NA"))</f>
        <v>2</v>
      </c>
      <c r="P165" s="66">
        <f>IF(Valor_normalizado!P165=0,32,IFERROR(RANK(Valor_normalizado!P165,Valor_normalizado!P$162:P$193,0),"NA"))</f>
        <v>16</v>
      </c>
      <c r="Q165" s="66">
        <f>IF(Valor_normalizado!Q165=0,32,IFERROR(RANK(Valor_normalizado!Q165,Valor_normalizado!Q$162:Q$193,0),"NA"))</f>
        <v>8</v>
      </c>
      <c r="R165" s="66">
        <f>IF(Valor_normalizado!R165=0,32,IFERROR(RANK(Valor_normalizado!R165,Valor_normalizado!R$162:R$193,0),"NA"))</f>
        <v>2</v>
      </c>
      <c r="S165" s="66">
        <f>IF(Valor_normalizado!S165=0,32,IFERROR(RANK(Valor_normalizado!S165,Valor_normalizado!S$162:S$193,0),"NA"))</f>
        <v>4</v>
      </c>
      <c r="T165" s="66">
        <f>IF(Valor_normalizado!T165=0,32,IFERROR(RANK(Valor_normalizado!T165,Valor_normalizado!T$162:T$193,0),"NA"))</f>
        <v>9</v>
      </c>
      <c r="U165" s="66">
        <f>IF(Valor_normalizado!U165=0,32,IFERROR(RANK(Valor_normalizado!U165,Valor_normalizado!U$162:U$193,0),"NA"))</f>
        <v>5</v>
      </c>
      <c r="V165" s="66">
        <f>IF(Valor_normalizado!V165=0,32,IFERROR(RANK(Valor_normalizado!V165,Valor_normalizado!V$162:V$193,0),"NA"))</f>
        <v>6</v>
      </c>
      <c r="W165" s="66">
        <f>IF(Valor_normalizado!W165=0,32,IFERROR(RANK(Valor_normalizado!W165,Valor_normalizado!W$162:W$193,0),"NA"))</f>
        <v>4</v>
      </c>
      <c r="X165" s="66">
        <f>IF(Valor_normalizado!X165=0,32,IFERROR(RANK(Valor_normalizado!X165,Valor_normalizado!X$162:X$193,0),"NA"))</f>
        <v>2</v>
      </c>
      <c r="Y165" s="66">
        <f>IF(Valor_normalizado!Y165=0,32,IFERROR(RANK(Valor_normalizado!Y165,Valor_normalizado!Y$162:Y$193,0),"NA"))</f>
        <v>5</v>
      </c>
    </row>
    <row r="166" ht="14.25" hidden="1" customHeight="1">
      <c r="A166" s="49" t="s">
        <v>310</v>
      </c>
      <c r="B166" s="23">
        <v>2024.0</v>
      </c>
      <c r="C166" s="66">
        <f>IF(Valor_normalizado!C166=0,32,IFERROR(RANK(Valor_normalizado!C166,Valor_normalizado!C$162:C$193,0),"NA"))</f>
        <v>6</v>
      </c>
      <c r="D166" s="66">
        <f>IF(Valor_normalizado!D166=0,32,IFERROR(RANK(Valor_normalizado!D166,Valor_normalizado!D$162:D$193,0),"NA"))</f>
        <v>2</v>
      </c>
      <c r="E166" s="66">
        <f>IF(Valor_normalizado!E166=0,32,IFERROR(RANK(Valor_normalizado!E166,Valor_normalizado!E$162:E$193,0),"NA"))</f>
        <v>4</v>
      </c>
      <c r="F166" s="66">
        <f>IF(Valor_normalizado!F166=0,32,IFERROR(RANK(Valor_normalizado!F166,Valor_normalizado!F$162:F$193,0),"NA"))</f>
        <v>7</v>
      </c>
      <c r="G166" s="66">
        <f>IF(Valor_normalizado!G166=0,32,IFERROR(RANK(Valor_normalizado!G166,Valor_normalizado!G$162:G$193,0),"NA"))</f>
        <v>3</v>
      </c>
      <c r="H166" s="66">
        <f>IF(Valor_normalizado!H166=0,32,IFERROR(RANK(Valor_normalizado!H166,Valor_normalizado!H$162:H$193,0),"NA"))</f>
        <v>5</v>
      </c>
      <c r="I166" s="66">
        <f>IF(Valor_normalizado!I166=0,32,IFERROR(RANK(Valor_normalizado!I166,Valor_normalizado!I$162:I$193,0),"NA"))</f>
        <v>4</v>
      </c>
      <c r="J166" s="66">
        <f>IF(Valor_normalizado!J166=0,32,IFERROR(RANK(Valor_normalizado!J166,Valor_normalizado!J$162:J$193,0),"NA"))</f>
        <v>17</v>
      </c>
      <c r="K166" s="66">
        <f>IF(Valor_normalizado!K166=0,32,IFERROR(RANK(Valor_normalizado!K166,Valor_normalizado!K$162:K$193,0),"NA"))</f>
        <v>6</v>
      </c>
      <c r="L166" s="66">
        <f>IF(Valor_normalizado!L166=0,32,IFERROR(RANK(Valor_normalizado!L166,Valor_normalizado!L$162:L$193,0),"NA"))</f>
        <v>5</v>
      </c>
      <c r="M166" s="66">
        <f>IF(Valor_normalizado!M166=0,32,IFERROR(RANK(Valor_normalizado!M166,Valor_normalizado!M$162:M$193,0),"NA"))</f>
        <v>11</v>
      </c>
      <c r="N166" s="66">
        <f>IF(Valor_normalizado!N166=0,32,IFERROR(RANK(Valor_normalizado!N166,Valor_normalizado!N$162:N$193,0),"NA"))</f>
        <v>11</v>
      </c>
      <c r="O166" s="66">
        <f>IF(Valor_normalizado!O166=0,32,IFERROR(RANK(Valor_normalizado!O166,Valor_normalizado!O$162:O$193,0),"NA"))</f>
        <v>13</v>
      </c>
      <c r="P166" s="66">
        <f>IF(Valor_normalizado!P166=0,32,IFERROR(RANK(Valor_normalizado!P166,Valor_normalizado!P$162:P$193,0),"NA"))</f>
        <v>10</v>
      </c>
      <c r="Q166" s="66">
        <f>IF(Valor_normalizado!Q166=0,32,IFERROR(RANK(Valor_normalizado!Q166,Valor_normalizado!Q$162:Q$193,0),"NA"))</f>
        <v>19</v>
      </c>
      <c r="R166" s="66">
        <f>IF(Valor_normalizado!R166=0,32,IFERROR(RANK(Valor_normalizado!R166,Valor_normalizado!R$162:R$193,0),"NA"))</f>
        <v>12</v>
      </c>
      <c r="S166" s="66">
        <f>IF(Valor_normalizado!S166=0,32,IFERROR(RANK(Valor_normalizado!S166,Valor_normalizado!S$162:S$193,0),"NA"))</f>
        <v>8</v>
      </c>
      <c r="T166" s="66">
        <f>IF(Valor_normalizado!T166=0,32,IFERROR(RANK(Valor_normalizado!T166,Valor_normalizado!T$162:T$193,0),"NA"))</f>
        <v>13</v>
      </c>
      <c r="U166" s="66">
        <f>IF(Valor_normalizado!U166=0,32,IFERROR(RANK(Valor_normalizado!U166,Valor_normalizado!U$162:U$193,0),"NA"))</f>
        <v>4</v>
      </c>
      <c r="V166" s="66">
        <f>IF(Valor_normalizado!V166=0,32,IFERROR(RANK(Valor_normalizado!V166,Valor_normalizado!V$162:V$193,0),"NA"))</f>
        <v>4</v>
      </c>
      <c r="W166" s="66">
        <f>IF(Valor_normalizado!W166=0,32,IFERROR(RANK(Valor_normalizado!W166,Valor_normalizado!W$162:W$193,0),"NA"))</f>
        <v>8</v>
      </c>
      <c r="X166" s="66">
        <f>IF(Valor_normalizado!X166=0,32,IFERROR(RANK(Valor_normalizado!X166,Valor_normalizado!X$162:X$193,0),"NA"))</f>
        <v>8</v>
      </c>
      <c r="Y166" s="66">
        <f>IF(Valor_normalizado!Y166=0,32,IFERROR(RANK(Valor_normalizado!Y166,Valor_normalizado!Y$162:Y$193,0),"NA"))</f>
        <v>7</v>
      </c>
    </row>
    <row r="167" ht="14.25" hidden="1" customHeight="1">
      <c r="A167" s="51" t="s">
        <v>311</v>
      </c>
      <c r="B167" s="23">
        <v>2024.0</v>
      </c>
      <c r="C167" s="66">
        <f>IF(Valor_normalizado!C167=0,32,IFERROR(RANK(Valor_normalizado!C167,Valor_normalizado!C$162:C$193,0),"NA"))</f>
        <v>13</v>
      </c>
      <c r="D167" s="66">
        <f>IF(Valor_normalizado!D167=0,32,IFERROR(RANK(Valor_normalizado!D167,Valor_normalizado!D$162:D$193,0),"NA"))</f>
        <v>9</v>
      </c>
      <c r="E167" s="66">
        <f>IF(Valor_normalizado!E167=0,32,IFERROR(RANK(Valor_normalizado!E167,Valor_normalizado!E$162:E$193,0),"NA"))</f>
        <v>9</v>
      </c>
      <c r="F167" s="66">
        <f>IF(Valor_normalizado!F167=0,32,IFERROR(RANK(Valor_normalizado!F167,Valor_normalizado!F$162:F$193,0),"NA"))</f>
        <v>14</v>
      </c>
      <c r="G167" s="66">
        <f>IF(Valor_normalizado!G167=0,32,IFERROR(RANK(Valor_normalizado!G167,Valor_normalizado!G$162:G$193,0),"NA"))</f>
        <v>11</v>
      </c>
      <c r="H167" s="66">
        <f>IF(Valor_normalizado!H167=0,32,IFERROR(RANK(Valor_normalizado!H167,Valor_normalizado!H$162:H$193,0),"NA"))</f>
        <v>3</v>
      </c>
      <c r="I167" s="66">
        <f>IF(Valor_normalizado!I167=0,32,IFERROR(RANK(Valor_normalizado!I167,Valor_normalizado!I$162:I$193,0),"NA"))</f>
        <v>5</v>
      </c>
      <c r="J167" s="66">
        <f>IF(Valor_normalizado!J167=0,32,IFERROR(RANK(Valor_normalizado!J167,Valor_normalizado!J$162:J$193,0),"NA"))</f>
        <v>12</v>
      </c>
      <c r="K167" s="66">
        <f>IF(Valor_normalizado!K167=0,32,IFERROR(RANK(Valor_normalizado!K167,Valor_normalizado!K$162:K$193,0),"NA"))</f>
        <v>4</v>
      </c>
      <c r="L167" s="66">
        <f>IF(Valor_normalizado!L167=0,32,IFERROR(RANK(Valor_normalizado!L167,Valor_normalizado!L$162:L$193,0),"NA"))</f>
        <v>6</v>
      </c>
      <c r="M167" s="66">
        <f>IF(Valor_normalizado!M167=0,32,IFERROR(RANK(Valor_normalizado!M167,Valor_normalizado!M$162:M$193,0),"NA"))</f>
        <v>6</v>
      </c>
      <c r="N167" s="66">
        <f>IF(Valor_normalizado!N167=0,32,IFERROR(RANK(Valor_normalizado!N167,Valor_normalizado!N$162:N$193,0),"NA"))</f>
        <v>12</v>
      </c>
      <c r="O167" s="66">
        <f>IF(Valor_normalizado!O167=0,32,IFERROR(RANK(Valor_normalizado!O167,Valor_normalizado!O$162:O$193,0),"NA"))</f>
        <v>3</v>
      </c>
      <c r="P167" s="66">
        <f>IF(Valor_normalizado!P167=0,32,IFERROR(RANK(Valor_normalizado!P167,Valor_normalizado!P$162:P$193,0),"NA"))</f>
        <v>6</v>
      </c>
      <c r="Q167" s="66">
        <f>IF(Valor_normalizado!Q167=0,32,IFERROR(RANK(Valor_normalizado!Q167,Valor_normalizado!Q$162:Q$193,0),"NA"))</f>
        <v>18</v>
      </c>
      <c r="R167" s="66">
        <f>IF(Valor_normalizado!R167=0,32,IFERROR(RANK(Valor_normalizado!R167,Valor_normalizado!R$162:R$193,0),"NA"))</f>
        <v>6</v>
      </c>
      <c r="S167" s="66">
        <f>IF(Valor_normalizado!S167=0,32,IFERROR(RANK(Valor_normalizado!S167,Valor_normalizado!S$162:S$193,0),"NA"))</f>
        <v>7</v>
      </c>
      <c r="T167" s="66">
        <f>IF(Valor_normalizado!T167=0,32,IFERROR(RANK(Valor_normalizado!T167,Valor_normalizado!T$162:T$193,0),"NA"))</f>
        <v>4</v>
      </c>
      <c r="U167" s="66">
        <f>IF(Valor_normalizado!U167=0,32,IFERROR(RANK(Valor_normalizado!U167,Valor_normalizado!U$162:U$193,0),"NA"))</f>
        <v>16</v>
      </c>
      <c r="V167" s="66">
        <f>IF(Valor_normalizado!V167=0,32,IFERROR(RANK(Valor_normalizado!V167,Valor_normalizado!V$162:V$193,0),"NA"))</f>
        <v>12</v>
      </c>
      <c r="W167" s="66">
        <f>IF(Valor_normalizado!W167=0,32,IFERROR(RANK(Valor_normalizado!W167,Valor_normalizado!W$162:W$193,0),"NA"))</f>
        <v>10</v>
      </c>
      <c r="X167" s="66">
        <f>IF(Valor_normalizado!X167=0,32,IFERROR(RANK(Valor_normalizado!X167,Valor_normalizado!X$162:X$193,0),"NA"))</f>
        <v>9</v>
      </c>
      <c r="Y167" s="66">
        <f>IF(Valor_normalizado!Y167=0,32,IFERROR(RANK(Valor_normalizado!Y167,Valor_normalizado!Y$162:Y$193,0),"NA"))</f>
        <v>9</v>
      </c>
    </row>
    <row r="168" ht="14.25" hidden="1" customHeight="1">
      <c r="A168" s="49" t="s">
        <v>318</v>
      </c>
      <c r="B168" s="23">
        <v>2024.0</v>
      </c>
      <c r="C168" s="66">
        <f>IF(Valor_normalizado!C168=0,32,IFERROR(RANK(Valor_normalizado!C168,Valor_normalizado!C$162:C$193,0),"NA"))</f>
        <v>2</v>
      </c>
      <c r="D168" s="66">
        <f>IF(Valor_normalizado!D168=0,32,IFERROR(RANK(Valor_normalizado!D168,Valor_normalizado!D$162:D$193,0),"NA"))</f>
        <v>7</v>
      </c>
      <c r="E168" s="66">
        <f>IF(Valor_normalizado!E168=0,32,IFERROR(RANK(Valor_normalizado!E168,Valor_normalizado!E$162:E$193,0),"NA"))</f>
        <v>8</v>
      </c>
      <c r="F168" s="66">
        <f>IF(Valor_normalizado!F168=0,32,IFERROR(RANK(Valor_normalizado!F168,Valor_normalizado!F$162:F$193,0),"NA"))</f>
        <v>9</v>
      </c>
      <c r="G168" s="66">
        <f>IF(Valor_normalizado!G168=0,32,IFERROR(RANK(Valor_normalizado!G168,Valor_normalizado!G$162:G$193,0),"NA"))</f>
        <v>6</v>
      </c>
      <c r="H168" s="66">
        <f>IF(Valor_normalizado!H168=0,32,IFERROR(RANK(Valor_normalizado!H168,Valor_normalizado!H$162:H$193,0),"NA"))</f>
        <v>4</v>
      </c>
      <c r="I168" s="66">
        <f>IF(Valor_normalizado!I168=0,32,IFERROR(RANK(Valor_normalizado!I168,Valor_normalizado!I$162:I$193,0),"NA"))</f>
        <v>7</v>
      </c>
      <c r="J168" s="66">
        <f>IF(Valor_normalizado!J168=0,32,IFERROR(RANK(Valor_normalizado!J168,Valor_normalizado!J$162:J$193,0),"NA"))</f>
        <v>22</v>
      </c>
      <c r="K168" s="66">
        <f>IF(Valor_normalizado!K168=0,32,IFERROR(RANK(Valor_normalizado!K168,Valor_normalizado!K$162:K$193,0),"NA"))</f>
        <v>7</v>
      </c>
      <c r="L168" s="66">
        <f>IF(Valor_normalizado!L168=0,32,IFERROR(RANK(Valor_normalizado!L168,Valor_normalizado!L$162:L$193,0),"NA"))</f>
        <v>7</v>
      </c>
      <c r="M168" s="66">
        <f>IF(Valor_normalizado!M168=0,32,IFERROR(RANK(Valor_normalizado!M168,Valor_normalizado!M$162:M$193,0),"NA"))</f>
        <v>17</v>
      </c>
      <c r="N168" s="66">
        <f>IF(Valor_normalizado!N168=0,32,IFERROR(RANK(Valor_normalizado!N168,Valor_normalizado!N$162:N$193,0),"NA"))</f>
        <v>32</v>
      </c>
      <c r="O168" s="66">
        <f>IF(Valor_normalizado!O168=0,32,IFERROR(RANK(Valor_normalizado!O168,Valor_normalizado!O$162:O$193,0),"NA"))</f>
        <v>9</v>
      </c>
      <c r="P168" s="66">
        <f>IF(Valor_normalizado!P168=0,32,IFERROR(RANK(Valor_normalizado!P168,Valor_normalizado!P$162:P$193,0),"NA"))</f>
        <v>13</v>
      </c>
      <c r="Q168" s="66">
        <f>IF(Valor_normalizado!Q168=0,32,IFERROR(RANK(Valor_normalizado!Q168,Valor_normalizado!Q$162:Q$193,0),"NA"))</f>
        <v>11</v>
      </c>
      <c r="R168" s="66">
        <f>IF(Valor_normalizado!R168=0,32,IFERROR(RANK(Valor_normalizado!R168,Valor_normalizado!R$162:R$193,0),"NA"))</f>
        <v>15</v>
      </c>
      <c r="S168" s="66">
        <f>IF(Valor_normalizado!S168=0,32,IFERROR(RANK(Valor_normalizado!S168,Valor_normalizado!S$162:S$193,0),"NA"))</f>
        <v>3</v>
      </c>
      <c r="T168" s="66">
        <f>IF(Valor_normalizado!T168=0,32,IFERROR(RANK(Valor_normalizado!T168,Valor_normalizado!T$162:T$193,0),"NA"))</f>
        <v>1</v>
      </c>
      <c r="U168" s="66">
        <f>IF(Valor_normalizado!U168=0,32,IFERROR(RANK(Valor_normalizado!U168,Valor_normalizado!U$162:U$193,0),"NA"))</f>
        <v>3</v>
      </c>
      <c r="V168" s="66">
        <f>IF(Valor_normalizado!V168=0,32,IFERROR(RANK(Valor_normalizado!V168,Valor_normalizado!V$162:V$193,0),"NA"))</f>
        <v>5</v>
      </c>
      <c r="W168" s="66">
        <f>IF(Valor_normalizado!W168=0,32,IFERROR(RANK(Valor_normalizado!W168,Valor_normalizado!W$162:W$193,0),"NA"))</f>
        <v>1</v>
      </c>
      <c r="X168" s="66">
        <f>IF(Valor_normalizado!X168=0,32,IFERROR(RANK(Valor_normalizado!X168,Valor_normalizado!X$162:X$193,0),"NA"))</f>
        <v>5</v>
      </c>
      <c r="Y168" s="66">
        <f>IF(Valor_normalizado!Y168=0,32,IFERROR(RANK(Valor_normalizado!Y168,Valor_normalizado!Y$162:Y$193,0),"NA"))</f>
        <v>10</v>
      </c>
    </row>
    <row r="169" ht="14.25" hidden="1" customHeight="1">
      <c r="A169" s="51" t="s">
        <v>324</v>
      </c>
      <c r="B169" s="23">
        <v>2024.0</v>
      </c>
      <c r="C169" s="66">
        <f>IF(Valor_normalizado!C169=0,32,IFERROR(RANK(Valor_normalizado!C169,Valor_normalizado!C$162:C$193,0),"NA"))</f>
        <v>7</v>
      </c>
      <c r="D169" s="66">
        <f>IF(Valor_normalizado!D169=0,32,IFERROR(RANK(Valor_normalizado!D169,Valor_normalizado!D$162:D$193,0),"NA"))</f>
        <v>8</v>
      </c>
      <c r="E169" s="66">
        <f>IF(Valor_normalizado!E169=0,32,IFERROR(RANK(Valor_normalizado!E169,Valor_normalizado!E$162:E$193,0),"NA"))</f>
        <v>6</v>
      </c>
      <c r="F169" s="66">
        <f>IF(Valor_normalizado!F169=0,32,IFERROR(RANK(Valor_normalizado!F169,Valor_normalizado!F$162:F$193,0),"NA"))</f>
        <v>2</v>
      </c>
      <c r="G169" s="66">
        <f>IF(Valor_normalizado!G169=0,32,IFERROR(RANK(Valor_normalizado!G169,Valor_normalizado!G$162:G$193,0),"NA"))</f>
        <v>4</v>
      </c>
      <c r="H169" s="66">
        <f>IF(Valor_normalizado!H169=0,32,IFERROR(RANK(Valor_normalizado!H169,Valor_normalizado!H$162:H$193,0),"NA"))</f>
        <v>9</v>
      </c>
      <c r="I169" s="66">
        <f>IF(Valor_normalizado!I169=0,32,IFERROR(RANK(Valor_normalizado!I169,Valor_normalizado!I$162:I$193,0),"NA"))</f>
        <v>11</v>
      </c>
      <c r="J169" s="66">
        <f>IF(Valor_normalizado!J169=0,32,IFERROR(RANK(Valor_normalizado!J169,Valor_normalizado!J$162:J$193,0),"NA"))</f>
        <v>9</v>
      </c>
      <c r="K169" s="66">
        <f>IF(Valor_normalizado!K169=0,32,IFERROR(RANK(Valor_normalizado!K169,Valor_normalizado!K$162:K$193,0),"NA"))</f>
        <v>8</v>
      </c>
      <c r="L169" s="66">
        <f>IF(Valor_normalizado!L169=0,32,IFERROR(RANK(Valor_normalizado!L169,Valor_normalizado!L$162:L$193,0),"NA"))</f>
        <v>8</v>
      </c>
      <c r="M169" s="66">
        <f>IF(Valor_normalizado!M169=0,32,IFERROR(RANK(Valor_normalizado!M169,Valor_normalizado!M$162:M$193,0),"NA"))</f>
        <v>5</v>
      </c>
      <c r="N169" s="66">
        <f>IF(Valor_normalizado!N169=0,32,IFERROR(RANK(Valor_normalizado!N169,Valor_normalizado!N$162:N$193,0),"NA"))</f>
        <v>9</v>
      </c>
      <c r="O169" s="66">
        <f>IF(Valor_normalizado!O169=0,32,IFERROR(RANK(Valor_normalizado!O169,Valor_normalizado!O$162:O$193,0),"NA"))</f>
        <v>6</v>
      </c>
      <c r="P169" s="66">
        <f>IF(Valor_normalizado!P169=0,32,IFERROR(RANK(Valor_normalizado!P169,Valor_normalizado!P$162:P$193,0),"NA"))</f>
        <v>13</v>
      </c>
      <c r="Q169" s="66">
        <f>IF(Valor_normalizado!Q169=0,32,IFERROR(RANK(Valor_normalizado!Q169,Valor_normalizado!Q$162:Q$193,0),"NA"))</f>
        <v>21</v>
      </c>
      <c r="R169" s="66">
        <f>IF(Valor_normalizado!R169=0,32,IFERROR(RANK(Valor_normalizado!R169,Valor_normalizado!R$162:R$193,0),"NA"))</f>
        <v>9</v>
      </c>
      <c r="S169" s="66">
        <f>IF(Valor_normalizado!S169=0,32,IFERROR(RANK(Valor_normalizado!S169,Valor_normalizado!S$162:S$193,0),"NA"))</f>
        <v>1</v>
      </c>
      <c r="T169" s="66">
        <f>IF(Valor_normalizado!T169=0,32,IFERROR(RANK(Valor_normalizado!T169,Valor_normalizado!T$162:T$193,0),"NA"))</f>
        <v>10</v>
      </c>
      <c r="U169" s="66">
        <f>IF(Valor_normalizado!U169=0,32,IFERROR(RANK(Valor_normalizado!U169,Valor_normalizado!U$162:U$193,0),"NA"))</f>
        <v>10</v>
      </c>
      <c r="V169" s="66">
        <f>IF(Valor_normalizado!V169=0,32,IFERROR(RANK(Valor_normalizado!V169,Valor_normalizado!V$162:V$193,0),"NA"))</f>
        <v>7</v>
      </c>
      <c r="W169" s="66">
        <f>IF(Valor_normalizado!W169=0,32,IFERROR(RANK(Valor_normalizado!W169,Valor_normalizado!W$162:W$193,0),"NA"))</f>
        <v>7</v>
      </c>
      <c r="X169" s="66">
        <f>IF(Valor_normalizado!X169=0,32,IFERROR(RANK(Valor_normalizado!X169,Valor_normalizado!X$162:X$193,0),"NA"))</f>
        <v>7</v>
      </c>
      <c r="Y169" s="66">
        <f>IF(Valor_normalizado!Y169=0,32,IFERROR(RANK(Valor_normalizado!Y169,Valor_normalizado!Y$162:Y$193,0),"NA"))</f>
        <v>6</v>
      </c>
    </row>
    <row r="170" ht="14.25" hidden="1" customHeight="1">
      <c r="A170" s="49" t="s">
        <v>327</v>
      </c>
      <c r="B170" s="23">
        <v>2024.0</v>
      </c>
      <c r="C170" s="66">
        <f>IF(Valor_normalizado!C170=0,32,IFERROR(RANK(Valor_normalizado!C170,Valor_normalizado!C$162:C$193,0),"NA"))</f>
        <v>3</v>
      </c>
      <c r="D170" s="66">
        <f>IF(Valor_normalizado!D170=0,32,IFERROR(RANK(Valor_normalizado!D170,Valor_normalizado!D$162:D$193,0),"NA"))</f>
        <v>20</v>
      </c>
      <c r="E170" s="66">
        <f>IF(Valor_normalizado!E170=0,32,IFERROR(RANK(Valor_normalizado!E170,Valor_normalizado!E$162:E$193,0),"NA"))</f>
        <v>13</v>
      </c>
      <c r="F170" s="66">
        <f>IF(Valor_normalizado!F170=0,32,IFERROR(RANK(Valor_normalizado!F170,Valor_normalizado!F$162:F$193,0),"NA"))</f>
        <v>10</v>
      </c>
      <c r="G170" s="66">
        <f>IF(Valor_normalizado!G170=0,32,IFERROR(RANK(Valor_normalizado!G170,Valor_normalizado!G$162:G$193,0),"NA"))</f>
        <v>9</v>
      </c>
      <c r="H170" s="66">
        <f>IF(Valor_normalizado!H170=0,32,IFERROR(RANK(Valor_normalizado!H170,Valor_normalizado!H$162:H$193,0),"NA"))</f>
        <v>11</v>
      </c>
      <c r="I170" s="66">
        <f>IF(Valor_normalizado!I170=0,32,IFERROR(RANK(Valor_normalizado!I170,Valor_normalizado!I$162:I$193,0),"NA"))</f>
        <v>6</v>
      </c>
      <c r="J170" s="66">
        <f>IF(Valor_normalizado!J170=0,32,IFERROR(RANK(Valor_normalizado!J170,Valor_normalizado!J$162:J$193,0),"NA"))</f>
        <v>15</v>
      </c>
      <c r="K170" s="66">
        <f>IF(Valor_normalizado!K170=0,32,IFERROR(RANK(Valor_normalizado!K170,Valor_normalizado!K$162:K$193,0),"NA"))</f>
        <v>9</v>
      </c>
      <c r="L170" s="66">
        <f>IF(Valor_normalizado!L170=0,32,IFERROR(RANK(Valor_normalizado!L170,Valor_normalizado!L$162:L$193,0),"NA"))</f>
        <v>9</v>
      </c>
      <c r="M170" s="66">
        <f>IF(Valor_normalizado!M170=0,32,IFERROR(RANK(Valor_normalizado!M170,Valor_normalizado!M$162:M$193,0),"NA"))</f>
        <v>14</v>
      </c>
      <c r="N170" s="66">
        <f>IF(Valor_normalizado!N170=0,32,IFERROR(RANK(Valor_normalizado!N170,Valor_normalizado!N$162:N$193,0),"NA"))</f>
        <v>32</v>
      </c>
      <c r="O170" s="66">
        <f>IF(Valor_normalizado!O170=0,32,IFERROR(RANK(Valor_normalizado!O170,Valor_normalizado!O$162:O$193,0),"NA"))</f>
        <v>17</v>
      </c>
      <c r="P170" s="66">
        <f>IF(Valor_normalizado!P170=0,32,IFERROR(RANK(Valor_normalizado!P170,Valor_normalizado!P$162:P$193,0),"NA"))</f>
        <v>4</v>
      </c>
      <c r="Q170" s="66">
        <f>IF(Valor_normalizado!Q170=0,32,IFERROR(RANK(Valor_normalizado!Q170,Valor_normalizado!Q$162:Q$193,0),"NA"))</f>
        <v>20</v>
      </c>
      <c r="R170" s="66">
        <f>IF(Valor_normalizado!R170=0,32,IFERROR(RANK(Valor_normalizado!R170,Valor_normalizado!R$162:R$193,0),"NA"))</f>
        <v>16</v>
      </c>
      <c r="S170" s="66">
        <f>IF(Valor_normalizado!S170=0,32,IFERROR(RANK(Valor_normalizado!S170,Valor_normalizado!S$162:S$193,0),"NA"))</f>
        <v>19</v>
      </c>
      <c r="T170" s="66">
        <f>IF(Valor_normalizado!T170=0,32,IFERROR(RANK(Valor_normalizado!T170,Valor_normalizado!T$162:T$193,0),"NA"))</f>
        <v>15</v>
      </c>
      <c r="U170" s="66">
        <f>IF(Valor_normalizado!U170=0,32,IFERROR(RANK(Valor_normalizado!U170,Valor_normalizado!U$162:U$193,0),"NA"))</f>
        <v>1</v>
      </c>
      <c r="V170" s="66">
        <f>IF(Valor_normalizado!V170=0,32,IFERROR(RANK(Valor_normalizado!V170,Valor_normalizado!V$162:V$193,0),"NA"))</f>
        <v>8</v>
      </c>
      <c r="W170" s="66">
        <f>IF(Valor_normalizado!W170=0,32,IFERROR(RANK(Valor_normalizado!W170,Valor_normalizado!W$162:W$193,0),"NA"))</f>
        <v>5</v>
      </c>
      <c r="X170" s="66">
        <f>IF(Valor_normalizado!X170=0,32,IFERROR(RANK(Valor_normalizado!X170,Valor_normalizado!X$162:X$193,0),"NA"))</f>
        <v>10</v>
      </c>
      <c r="Y170" s="66">
        <f>IF(Valor_normalizado!Y170=0,32,IFERROR(RANK(Valor_normalizado!Y170,Valor_normalizado!Y$162:Y$193,0),"NA"))</f>
        <v>13</v>
      </c>
    </row>
    <row r="171" ht="14.25" hidden="1" customHeight="1">
      <c r="A171" s="51" t="s">
        <v>313</v>
      </c>
      <c r="B171" s="23">
        <v>2024.0</v>
      </c>
      <c r="C171" s="66">
        <f>IF(Valor_normalizado!C171=0,32,IFERROR(RANK(Valor_normalizado!C171,Valor_normalizado!C$162:C$193,0),"NA"))</f>
        <v>9</v>
      </c>
      <c r="D171" s="66">
        <f>IF(Valor_normalizado!D171=0,32,IFERROR(RANK(Valor_normalizado!D171,Valor_normalizado!D$162:D$193,0),"NA"))</f>
        <v>11</v>
      </c>
      <c r="E171" s="66">
        <f>IF(Valor_normalizado!E171=0,32,IFERROR(RANK(Valor_normalizado!E171,Valor_normalizado!E$162:E$193,0),"NA"))</f>
        <v>5</v>
      </c>
      <c r="F171" s="66">
        <f>IF(Valor_normalizado!F171=0,32,IFERROR(RANK(Valor_normalizado!F171,Valor_normalizado!F$162:F$193,0),"NA"))</f>
        <v>3</v>
      </c>
      <c r="G171" s="66">
        <f>IF(Valor_normalizado!G171=0,32,IFERROR(RANK(Valor_normalizado!G171,Valor_normalizado!G$162:G$193,0),"NA"))</f>
        <v>7</v>
      </c>
      <c r="H171" s="66">
        <f>IF(Valor_normalizado!H171=0,32,IFERROR(RANK(Valor_normalizado!H171,Valor_normalizado!H$162:H$193,0),"NA"))</f>
        <v>14</v>
      </c>
      <c r="I171" s="66">
        <f>IF(Valor_normalizado!I171=0,32,IFERROR(RANK(Valor_normalizado!I171,Valor_normalizado!I$162:I$193,0),"NA"))</f>
        <v>18</v>
      </c>
      <c r="J171" s="66">
        <f>IF(Valor_normalizado!J171=0,32,IFERROR(RANK(Valor_normalizado!J171,Valor_normalizado!J$162:J$193,0),"NA"))</f>
        <v>6</v>
      </c>
      <c r="K171" s="66">
        <f>IF(Valor_normalizado!K171=0,32,IFERROR(RANK(Valor_normalizado!K171,Valor_normalizado!K$162:K$193,0),"NA"))</f>
        <v>13</v>
      </c>
      <c r="L171" s="66">
        <f>IF(Valor_normalizado!L171=0,32,IFERROR(RANK(Valor_normalizado!L171,Valor_normalizado!L$162:L$193,0),"NA"))</f>
        <v>10</v>
      </c>
      <c r="M171" s="66">
        <f>IF(Valor_normalizado!M171=0,32,IFERROR(RANK(Valor_normalizado!M171,Valor_normalizado!M$162:M$193,0),"NA"))</f>
        <v>9</v>
      </c>
      <c r="N171" s="66">
        <f>IF(Valor_normalizado!N171=0,32,IFERROR(RANK(Valor_normalizado!N171,Valor_normalizado!N$162:N$193,0),"NA"))</f>
        <v>8</v>
      </c>
      <c r="O171" s="66">
        <f>IF(Valor_normalizado!O171=0,32,IFERROR(RANK(Valor_normalizado!O171,Valor_normalizado!O$162:O$193,0),"NA"))</f>
        <v>10</v>
      </c>
      <c r="P171" s="66">
        <f>IF(Valor_normalizado!P171=0,32,IFERROR(RANK(Valor_normalizado!P171,Valor_normalizado!P$162:P$193,0),"NA"))</f>
        <v>3</v>
      </c>
      <c r="Q171" s="66">
        <f>IF(Valor_normalizado!Q171=0,32,IFERROR(RANK(Valor_normalizado!Q171,Valor_normalizado!Q$162:Q$193,0),"NA"))</f>
        <v>14</v>
      </c>
      <c r="R171" s="66">
        <f>IF(Valor_normalizado!R171=0,32,IFERROR(RANK(Valor_normalizado!R171,Valor_normalizado!R$162:R$193,0),"NA"))</f>
        <v>8</v>
      </c>
      <c r="S171" s="66">
        <f>IF(Valor_normalizado!S171=0,32,IFERROR(RANK(Valor_normalizado!S171,Valor_normalizado!S$162:S$193,0),"NA"))</f>
        <v>9</v>
      </c>
      <c r="T171" s="66">
        <f>IF(Valor_normalizado!T171=0,32,IFERROR(RANK(Valor_normalizado!T171,Valor_normalizado!T$162:T$193,0),"NA"))</f>
        <v>5</v>
      </c>
      <c r="U171" s="66">
        <f>IF(Valor_normalizado!U171=0,32,IFERROR(RANK(Valor_normalizado!U171,Valor_normalizado!U$162:U$193,0),"NA"))</f>
        <v>9</v>
      </c>
      <c r="V171" s="66">
        <f>IF(Valor_normalizado!V171=0,32,IFERROR(RANK(Valor_normalizado!V171,Valor_normalizado!V$162:V$193,0),"NA"))</f>
        <v>3</v>
      </c>
      <c r="W171" s="66">
        <f>IF(Valor_normalizado!W171=0,32,IFERROR(RANK(Valor_normalizado!W171,Valor_normalizado!W$162:W$193,0),"NA"))</f>
        <v>6</v>
      </c>
      <c r="X171" s="66">
        <f>IF(Valor_normalizado!X171=0,32,IFERROR(RANK(Valor_normalizado!X171,Valor_normalizado!X$162:X$193,0),"NA"))</f>
        <v>6</v>
      </c>
      <c r="Y171" s="66">
        <f>IF(Valor_normalizado!Y171=0,32,IFERROR(RANK(Valor_normalizado!Y171,Valor_normalizado!Y$162:Y$193,0),"NA"))</f>
        <v>4</v>
      </c>
    </row>
    <row r="172" ht="14.25" hidden="1" customHeight="1">
      <c r="A172" s="49" t="s">
        <v>334</v>
      </c>
      <c r="B172" s="23">
        <v>2024.0</v>
      </c>
      <c r="C172" s="66">
        <f>IF(Valor_normalizado!C172=0,32,IFERROR(RANK(Valor_normalizado!C172,Valor_normalizado!C$162:C$193,0),"NA"))</f>
        <v>8</v>
      </c>
      <c r="D172" s="66">
        <f>IF(Valor_normalizado!D172=0,32,IFERROR(RANK(Valor_normalizado!D172,Valor_normalizado!D$162:D$193,0),"NA"))</f>
        <v>19</v>
      </c>
      <c r="E172" s="66">
        <f>IF(Valor_normalizado!E172=0,32,IFERROR(RANK(Valor_normalizado!E172,Valor_normalizado!E$162:E$193,0),"NA"))</f>
        <v>11</v>
      </c>
      <c r="F172" s="66">
        <f>IF(Valor_normalizado!F172=0,32,IFERROR(RANK(Valor_normalizado!F172,Valor_normalizado!F$162:F$193,0),"NA"))</f>
        <v>10</v>
      </c>
      <c r="G172" s="66">
        <f>IF(Valor_normalizado!G172=0,32,IFERROR(RANK(Valor_normalizado!G172,Valor_normalizado!G$162:G$193,0),"NA"))</f>
        <v>12</v>
      </c>
      <c r="H172" s="66">
        <f>IF(Valor_normalizado!H172=0,32,IFERROR(RANK(Valor_normalizado!H172,Valor_normalizado!H$162:H$193,0),"NA"))</f>
        <v>10</v>
      </c>
      <c r="I172" s="66">
        <f>IF(Valor_normalizado!I172=0,32,IFERROR(RANK(Valor_normalizado!I172,Valor_normalizado!I$162:I$193,0),"NA"))</f>
        <v>10</v>
      </c>
      <c r="J172" s="66">
        <f>IF(Valor_normalizado!J172=0,32,IFERROR(RANK(Valor_normalizado!J172,Valor_normalizado!J$162:J$193,0),"NA"))</f>
        <v>25</v>
      </c>
      <c r="K172" s="66">
        <f>IF(Valor_normalizado!K172=0,32,IFERROR(RANK(Valor_normalizado!K172,Valor_normalizado!K$162:K$193,0),"NA"))</f>
        <v>12</v>
      </c>
      <c r="L172" s="66">
        <f>IF(Valor_normalizado!L172=0,32,IFERROR(RANK(Valor_normalizado!L172,Valor_normalizado!L$162:L$193,0),"NA"))</f>
        <v>11</v>
      </c>
      <c r="M172" s="66">
        <f>IF(Valor_normalizado!M172=0,32,IFERROR(RANK(Valor_normalizado!M172,Valor_normalizado!M$162:M$193,0),"NA"))</f>
        <v>18</v>
      </c>
      <c r="N172" s="66">
        <f>IF(Valor_normalizado!N172=0,32,IFERROR(RANK(Valor_normalizado!N172,Valor_normalizado!N$162:N$193,0),"NA"))</f>
        <v>32</v>
      </c>
      <c r="O172" s="66">
        <f>IF(Valor_normalizado!O172=0,32,IFERROR(RANK(Valor_normalizado!O172,Valor_normalizado!O$162:O$193,0),"NA"))</f>
        <v>16</v>
      </c>
      <c r="P172" s="66">
        <f>IF(Valor_normalizado!P172=0,32,IFERROR(RANK(Valor_normalizado!P172,Valor_normalizado!P$162:P$193,0),"NA"))</f>
        <v>7</v>
      </c>
      <c r="Q172" s="66">
        <f>IF(Valor_normalizado!Q172=0,32,IFERROR(RANK(Valor_normalizado!Q172,Valor_normalizado!Q$162:Q$193,0),"NA"))</f>
        <v>9</v>
      </c>
      <c r="R172" s="66">
        <f>IF(Valor_normalizado!R172=0,32,IFERROR(RANK(Valor_normalizado!R172,Valor_normalizado!R$162:R$193,0),"NA"))</f>
        <v>14</v>
      </c>
      <c r="S172" s="66">
        <f>IF(Valor_normalizado!S172=0,32,IFERROR(RANK(Valor_normalizado!S172,Valor_normalizado!S$162:S$193,0),"NA"))</f>
        <v>10</v>
      </c>
      <c r="T172" s="66">
        <f>IF(Valor_normalizado!T172=0,32,IFERROR(RANK(Valor_normalizado!T172,Valor_normalizado!T$162:T$193,0),"NA"))</f>
        <v>6</v>
      </c>
      <c r="U172" s="66">
        <f>IF(Valor_normalizado!U172=0,32,IFERROR(RANK(Valor_normalizado!U172,Valor_normalizado!U$162:U$193,0),"NA"))</f>
        <v>22</v>
      </c>
      <c r="V172" s="66">
        <f>IF(Valor_normalizado!V172=0,32,IFERROR(RANK(Valor_normalizado!V172,Valor_normalizado!V$162:V$193,0),"NA"))</f>
        <v>16</v>
      </c>
      <c r="W172" s="66">
        <f>IF(Valor_normalizado!W172=0,32,IFERROR(RANK(Valor_normalizado!W172,Valor_normalizado!W$162:W$193,0),"NA"))</f>
        <v>15</v>
      </c>
      <c r="X172" s="66">
        <f>IF(Valor_normalizado!X172=0,32,IFERROR(RANK(Valor_normalizado!X172,Valor_normalizado!X$162:X$193,0),"NA"))</f>
        <v>14</v>
      </c>
      <c r="Y172" s="66">
        <f>IF(Valor_normalizado!Y172=0,32,IFERROR(RANK(Valor_normalizado!Y172,Valor_normalizado!Y$162:Y$193,0),"NA"))</f>
        <v>12</v>
      </c>
    </row>
    <row r="173" ht="14.25" hidden="1" customHeight="1">
      <c r="A173" s="51" t="s">
        <v>335</v>
      </c>
      <c r="B173" s="23">
        <v>2024.0</v>
      </c>
      <c r="C173" s="66">
        <f>IF(Valor_normalizado!C173=0,32,IFERROR(RANK(Valor_normalizado!C173,Valor_normalizado!C$162:C$193,0),"NA"))</f>
        <v>15</v>
      </c>
      <c r="D173" s="66">
        <f>IF(Valor_normalizado!D173=0,32,IFERROR(RANK(Valor_normalizado!D173,Valor_normalizado!D$162:D$193,0),"NA"))</f>
        <v>22</v>
      </c>
      <c r="E173" s="66">
        <f>IF(Valor_normalizado!E173=0,32,IFERROR(RANK(Valor_normalizado!E173,Valor_normalizado!E$162:E$193,0),"NA"))</f>
        <v>12</v>
      </c>
      <c r="F173" s="66">
        <f>IF(Valor_normalizado!F173=0,32,IFERROR(RANK(Valor_normalizado!F173,Valor_normalizado!F$162:F$193,0),"NA"))</f>
        <v>12</v>
      </c>
      <c r="G173" s="66">
        <f>IF(Valor_normalizado!G173=0,32,IFERROR(RANK(Valor_normalizado!G173,Valor_normalizado!G$162:G$193,0),"NA"))</f>
        <v>15</v>
      </c>
      <c r="H173" s="66">
        <f>IF(Valor_normalizado!H173=0,32,IFERROR(RANK(Valor_normalizado!H173,Valor_normalizado!H$162:H$193,0),"NA"))</f>
        <v>13</v>
      </c>
      <c r="I173" s="66">
        <f>IF(Valor_normalizado!I173=0,32,IFERROR(RANK(Valor_normalizado!I173,Valor_normalizado!I$162:I$193,0),"NA"))</f>
        <v>13</v>
      </c>
      <c r="J173" s="66">
        <f>IF(Valor_normalizado!J173=0,32,IFERROR(RANK(Valor_normalizado!J173,Valor_normalizado!J$162:J$193,0),"NA"))</f>
        <v>5</v>
      </c>
      <c r="K173" s="66">
        <f>IF(Valor_normalizado!K173=0,32,IFERROR(RANK(Valor_normalizado!K173,Valor_normalizado!K$162:K$193,0),"NA"))</f>
        <v>10</v>
      </c>
      <c r="L173" s="66">
        <f>IF(Valor_normalizado!L173=0,32,IFERROR(RANK(Valor_normalizado!L173,Valor_normalizado!L$162:L$193,0),"NA"))</f>
        <v>12</v>
      </c>
      <c r="M173" s="66">
        <f>IF(Valor_normalizado!M173=0,32,IFERROR(RANK(Valor_normalizado!M173,Valor_normalizado!M$162:M$193,0),"NA"))</f>
        <v>8</v>
      </c>
      <c r="N173" s="66">
        <f>IF(Valor_normalizado!N173=0,32,IFERROR(RANK(Valor_normalizado!N173,Valor_normalizado!N$162:N$193,0),"NA"))</f>
        <v>4</v>
      </c>
      <c r="O173" s="66">
        <f>IF(Valor_normalizado!O173=0,32,IFERROR(RANK(Valor_normalizado!O173,Valor_normalizado!O$162:O$193,0),"NA"))</f>
        <v>7</v>
      </c>
      <c r="P173" s="66">
        <f>IF(Valor_normalizado!P173=0,32,IFERROR(RANK(Valor_normalizado!P173,Valor_normalizado!P$162:P$193,0),"NA"))</f>
        <v>2</v>
      </c>
      <c r="Q173" s="66">
        <f>IF(Valor_normalizado!Q173=0,32,IFERROR(RANK(Valor_normalizado!Q173,Valor_normalizado!Q$162:Q$193,0),"NA"))</f>
        <v>22</v>
      </c>
      <c r="R173" s="66">
        <f>IF(Valor_normalizado!R173=0,32,IFERROR(RANK(Valor_normalizado!R173,Valor_normalizado!R$162:R$193,0),"NA"))</f>
        <v>5</v>
      </c>
      <c r="S173" s="66">
        <f>IF(Valor_normalizado!S173=0,32,IFERROR(RANK(Valor_normalizado!S173,Valor_normalizado!S$162:S$193,0),"NA"))</f>
        <v>11</v>
      </c>
      <c r="T173" s="66">
        <f>IF(Valor_normalizado!T173=0,32,IFERROR(RANK(Valor_normalizado!T173,Valor_normalizado!T$162:T$193,0),"NA"))</f>
        <v>12</v>
      </c>
      <c r="U173" s="66">
        <f>IF(Valor_normalizado!U173=0,32,IFERROR(RANK(Valor_normalizado!U173,Valor_normalizado!U$162:U$193,0),"NA"))</f>
        <v>15</v>
      </c>
      <c r="V173" s="66">
        <f>IF(Valor_normalizado!V173=0,32,IFERROR(RANK(Valor_normalizado!V173,Valor_normalizado!V$162:V$193,0),"NA"))</f>
        <v>9</v>
      </c>
      <c r="W173" s="66">
        <f>IF(Valor_normalizado!W173=0,32,IFERROR(RANK(Valor_normalizado!W173,Valor_normalizado!W$162:W$193,0),"NA"))</f>
        <v>12</v>
      </c>
      <c r="X173" s="66">
        <f>IF(Valor_normalizado!X173=0,32,IFERROR(RANK(Valor_normalizado!X173,Valor_normalizado!X$162:X$193,0),"NA"))</f>
        <v>11</v>
      </c>
      <c r="Y173" s="66">
        <f>IF(Valor_normalizado!Y173=0,32,IFERROR(RANK(Valor_normalizado!Y173,Valor_normalizado!Y$162:Y$193,0),"NA"))</f>
        <v>8</v>
      </c>
    </row>
    <row r="174" ht="14.25" hidden="1" customHeight="1">
      <c r="A174" s="49" t="s">
        <v>315</v>
      </c>
      <c r="B174" s="23">
        <v>2024.0</v>
      </c>
      <c r="C174" s="66">
        <f>IF(Valor_normalizado!C174=0,32,IFERROR(RANK(Valor_normalizado!C174,Valor_normalizado!C$162:C$193,0),"NA"))</f>
        <v>11</v>
      </c>
      <c r="D174" s="66">
        <f>IF(Valor_normalizado!D174=0,32,IFERROR(RANK(Valor_normalizado!D174,Valor_normalizado!D$162:D$193,0),"NA"))</f>
        <v>14</v>
      </c>
      <c r="E174" s="66">
        <f>IF(Valor_normalizado!E174=0,32,IFERROR(RANK(Valor_normalizado!E174,Valor_normalizado!E$162:E$193,0),"NA"))</f>
        <v>14</v>
      </c>
      <c r="F174" s="66">
        <f>IF(Valor_normalizado!F174=0,32,IFERROR(RANK(Valor_normalizado!F174,Valor_normalizado!F$162:F$193,0),"NA"))</f>
        <v>18</v>
      </c>
      <c r="G174" s="66">
        <f>IF(Valor_normalizado!G174=0,32,IFERROR(RANK(Valor_normalizado!G174,Valor_normalizado!G$162:G$193,0),"NA"))</f>
        <v>14</v>
      </c>
      <c r="H174" s="66">
        <f>IF(Valor_normalizado!H174=0,32,IFERROR(RANK(Valor_normalizado!H174,Valor_normalizado!H$162:H$193,0),"NA"))</f>
        <v>7</v>
      </c>
      <c r="I174" s="66">
        <f>IF(Valor_normalizado!I174=0,32,IFERROR(RANK(Valor_normalizado!I174,Valor_normalizado!I$162:I$193,0),"NA"))</f>
        <v>9</v>
      </c>
      <c r="J174" s="66">
        <f>IF(Valor_normalizado!J174=0,32,IFERROR(RANK(Valor_normalizado!J174,Valor_normalizado!J$162:J$193,0),"NA"))</f>
        <v>21</v>
      </c>
      <c r="K174" s="66">
        <f>IF(Valor_normalizado!K174=0,32,IFERROR(RANK(Valor_normalizado!K174,Valor_normalizado!K$162:K$193,0),"NA"))</f>
        <v>11</v>
      </c>
      <c r="L174" s="66">
        <f>IF(Valor_normalizado!L174=0,32,IFERROR(RANK(Valor_normalizado!L174,Valor_normalizado!L$162:L$193,0),"NA"))</f>
        <v>13</v>
      </c>
      <c r="M174" s="66">
        <f>IF(Valor_normalizado!M174=0,32,IFERROR(RANK(Valor_normalizado!M174,Valor_normalizado!M$162:M$193,0),"NA"))</f>
        <v>20</v>
      </c>
      <c r="N174" s="66">
        <f>IF(Valor_normalizado!N174=0,32,IFERROR(RANK(Valor_normalizado!N174,Valor_normalizado!N$162:N$193,0),"NA"))</f>
        <v>7</v>
      </c>
      <c r="O174" s="66">
        <f>IF(Valor_normalizado!O174=0,32,IFERROR(RANK(Valor_normalizado!O174,Valor_normalizado!O$162:O$193,0),"NA"))</f>
        <v>8</v>
      </c>
      <c r="P174" s="66">
        <f>IF(Valor_normalizado!P174=0,32,IFERROR(RANK(Valor_normalizado!P174,Valor_normalizado!P$162:P$193,0),"NA"))</f>
        <v>21</v>
      </c>
      <c r="Q174" s="66">
        <f>IF(Valor_normalizado!Q174=0,32,IFERROR(RANK(Valor_normalizado!Q174,Valor_normalizado!Q$162:Q$193,0),"NA"))</f>
        <v>13</v>
      </c>
      <c r="R174" s="66">
        <f>IF(Valor_normalizado!R174=0,32,IFERROR(RANK(Valor_normalizado!R174,Valor_normalizado!R$162:R$193,0),"NA"))</f>
        <v>13</v>
      </c>
      <c r="S174" s="66">
        <f>IF(Valor_normalizado!S174=0,32,IFERROR(RANK(Valor_normalizado!S174,Valor_normalizado!S$162:S$193,0),"NA"))</f>
        <v>13</v>
      </c>
      <c r="T174" s="66">
        <f>IF(Valor_normalizado!T174=0,32,IFERROR(RANK(Valor_normalizado!T174,Valor_normalizado!T$162:T$193,0),"NA"))</f>
        <v>11</v>
      </c>
      <c r="U174" s="66">
        <f>IF(Valor_normalizado!U174=0,32,IFERROR(RANK(Valor_normalizado!U174,Valor_normalizado!U$162:U$193,0),"NA"))</f>
        <v>13</v>
      </c>
      <c r="V174" s="66">
        <f>IF(Valor_normalizado!V174=0,32,IFERROR(RANK(Valor_normalizado!V174,Valor_normalizado!V$162:V$193,0),"NA"))</f>
        <v>13</v>
      </c>
      <c r="W174" s="66">
        <f>IF(Valor_normalizado!W174=0,32,IFERROR(RANK(Valor_normalizado!W174,Valor_normalizado!W$162:W$193,0),"NA"))</f>
        <v>14</v>
      </c>
      <c r="X174" s="66">
        <f>IF(Valor_normalizado!X174=0,32,IFERROR(RANK(Valor_normalizado!X174,Valor_normalizado!X$162:X$193,0),"NA"))</f>
        <v>12</v>
      </c>
      <c r="Y174" s="66">
        <f>IF(Valor_normalizado!Y174=0,32,IFERROR(RANK(Valor_normalizado!Y174,Valor_normalizado!Y$162:Y$193,0),"NA"))</f>
        <v>14</v>
      </c>
    </row>
    <row r="175" ht="14.25" hidden="1" customHeight="1">
      <c r="A175" s="51" t="s">
        <v>307</v>
      </c>
      <c r="B175" s="23">
        <v>2024.0</v>
      </c>
      <c r="C175" s="66">
        <f>IF(Valor_normalizado!C175=0,32,IFERROR(RANK(Valor_normalizado!C175,Valor_normalizado!C$162:C$193,0),"NA"))</f>
        <v>14</v>
      </c>
      <c r="D175" s="66">
        <f>IF(Valor_normalizado!D175=0,32,IFERROR(RANK(Valor_normalizado!D175,Valor_normalizado!D$162:D$193,0),"NA"))</f>
        <v>15</v>
      </c>
      <c r="E175" s="66">
        <f>IF(Valor_normalizado!E175=0,32,IFERROR(RANK(Valor_normalizado!E175,Valor_normalizado!E$162:E$193,0),"NA"))</f>
        <v>10</v>
      </c>
      <c r="F175" s="66">
        <f>IF(Valor_normalizado!F175=0,32,IFERROR(RANK(Valor_normalizado!F175,Valor_normalizado!F$162:F$193,0),"NA"))</f>
        <v>1</v>
      </c>
      <c r="G175" s="66">
        <f>IF(Valor_normalizado!G175=0,32,IFERROR(RANK(Valor_normalizado!G175,Valor_normalizado!G$162:G$193,0),"NA"))</f>
        <v>10</v>
      </c>
      <c r="H175" s="66">
        <f>IF(Valor_normalizado!H175=0,32,IFERROR(RANK(Valor_normalizado!H175,Valor_normalizado!H$162:H$193,0),"NA"))</f>
        <v>24</v>
      </c>
      <c r="I175" s="66">
        <f>IF(Valor_normalizado!I175=0,32,IFERROR(RANK(Valor_normalizado!I175,Valor_normalizado!I$162:I$193,0),"NA"))</f>
        <v>23</v>
      </c>
      <c r="J175" s="66">
        <f>IF(Valor_normalizado!J175=0,32,IFERROR(RANK(Valor_normalizado!J175,Valor_normalizado!J$162:J$193,0),"NA"))</f>
        <v>24</v>
      </c>
      <c r="K175" s="66">
        <f>IF(Valor_normalizado!K175=0,32,IFERROR(RANK(Valor_normalizado!K175,Valor_normalizado!K$162:K$193,0),"NA"))</f>
        <v>26</v>
      </c>
      <c r="L175" s="66">
        <f>IF(Valor_normalizado!L175=0,32,IFERROR(RANK(Valor_normalizado!L175,Valor_normalizado!L$162:L$193,0),"NA"))</f>
        <v>14</v>
      </c>
      <c r="M175" s="66">
        <f>IF(Valor_normalizado!M175=0,32,IFERROR(RANK(Valor_normalizado!M175,Valor_normalizado!M$162:M$193,0),"NA"))</f>
        <v>25</v>
      </c>
      <c r="N175" s="66">
        <f>IF(Valor_normalizado!N175=0,32,IFERROR(RANK(Valor_normalizado!N175,Valor_normalizado!N$162:N$193,0),"NA"))</f>
        <v>32</v>
      </c>
      <c r="O175" s="66">
        <f>IF(Valor_normalizado!O175=0,32,IFERROR(RANK(Valor_normalizado!O175,Valor_normalizado!O$162:O$193,0),"NA"))</f>
        <v>22</v>
      </c>
      <c r="P175" s="66">
        <f>IF(Valor_normalizado!P175=0,32,IFERROR(RANK(Valor_normalizado!P175,Valor_normalizado!P$162:P$193,0),"NA"))</f>
        <v>22</v>
      </c>
      <c r="Q175" s="66">
        <f>IF(Valor_normalizado!Q175=0,32,IFERROR(RANK(Valor_normalizado!Q175,Valor_normalizado!Q$162:Q$193,0),"NA"))</f>
        <v>23</v>
      </c>
      <c r="R175" s="66">
        <f>IF(Valor_normalizado!R175=0,32,IFERROR(RANK(Valor_normalizado!R175,Valor_normalizado!R$162:R$193,0),"NA"))</f>
        <v>24</v>
      </c>
      <c r="S175" s="66">
        <f>IF(Valor_normalizado!S175=0,32,IFERROR(RANK(Valor_normalizado!S175,Valor_normalizado!S$162:S$193,0),"NA"))</f>
        <v>23</v>
      </c>
      <c r="T175" s="66">
        <f>IF(Valor_normalizado!T175=0,32,IFERROR(RANK(Valor_normalizado!T175,Valor_normalizado!T$162:T$193,0),"NA"))</f>
        <v>20</v>
      </c>
      <c r="U175" s="66">
        <f>IF(Valor_normalizado!U175=0,32,IFERROR(RANK(Valor_normalizado!U175,Valor_normalizado!U$162:U$193,0),"NA"))</f>
        <v>7</v>
      </c>
      <c r="V175" s="66">
        <f>IF(Valor_normalizado!V175=0,32,IFERROR(RANK(Valor_normalizado!V175,Valor_normalizado!V$162:V$193,0),"NA"))</f>
        <v>17</v>
      </c>
      <c r="W175" s="66">
        <f>IF(Valor_normalizado!W175=0,32,IFERROR(RANK(Valor_normalizado!W175,Valor_normalizado!W$162:W$193,0),"NA"))</f>
        <v>16</v>
      </c>
      <c r="X175" s="66">
        <f>IF(Valor_normalizado!X175=0,32,IFERROR(RANK(Valor_normalizado!X175,Valor_normalizado!X$162:X$193,0),"NA"))</f>
        <v>21</v>
      </c>
      <c r="Y175" s="66">
        <f>IF(Valor_normalizado!Y175=0,32,IFERROR(RANK(Valor_normalizado!Y175,Valor_normalizado!Y$162:Y$193,0),"NA"))</f>
        <v>19</v>
      </c>
    </row>
    <row r="176" ht="14.25" hidden="1" customHeight="1">
      <c r="A176" s="49" t="s">
        <v>336</v>
      </c>
      <c r="B176" s="23">
        <v>2024.0</v>
      </c>
      <c r="C176" s="66">
        <f>IF(Valor_normalizado!C176=0,32,IFERROR(RANK(Valor_normalizado!C176,Valor_normalizado!C$162:C$193,0),"NA"))</f>
        <v>12</v>
      </c>
      <c r="D176" s="66">
        <f>IF(Valor_normalizado!D176=0,32,IFERROR(RANK(Valor_normalizado!D176,Valor_normalizado!D$162:D$193,0),"NA"))</f>
        <v>12</v>
      </c>
      <c r="E176" s="66">
        <f>IF(Valor_normalizado!E176=0,32,IFERROR(RANK(Valor_normalizado!E176,Valor_normalizado!E$162:E$193,0),"NA"))</f>
        <v>18</v>
      </c>
      <c r="F176" s="66">
        <f>IF(Valor_normalizado!F176=0,32,IFERROR(RANK(Valor_normalizado!F176,Valor_normalizado!F$162:F$193,0),"NA"))</f>
        <v>6</v>
      </c>
      <c r="G176" s="66">
        <f>IF(Valor_normalizado!G176=0,32,IFERROR(RANK(Valor_normalizado!G176,Valor_normalizado!G$162:G$193,0),"NA"))</f>
        <v>13</v>
      </c>
      <c r="H176" s="66">
        <f>IF(Valor_normalizado!H176=0,32,IFERROR(RANK(Valor_normalizado!H176,Valor_normalizado!H$162:H$193,0),"NA"))</f>
        <v>20</v>
      </c>
      <c r="I176" s="66">
        <f>IF(Valor_normalizado!I176=0,32,IFERROR(RANK(Valor_normalizado!I176,Valor_normalizado!I$162:I$193,0),"NA"))</f>
        <v>14</v>
      </c>
      <c r="J176" s="66">
        <f>IF(Valor_normalizado!J176=0,32,IFERROR(RANK(Valor_normalizado!J176,Valor_normalizado!J$162:J$193,0),"NA"))</f>
        <v>28</v>
      </c>
      <c r="K176" s="66">
        <f>IF(Valor_normalizado!K176=0,32,IFERROR(RANK(Valor_normalizado!K176,Valor_normalizado!K$162:K$193,0),"NA"))</f>
        <v>22</v>
      </c>
      <c r="L176" s="66">
        <f>IF(Valor_normalizado!L176=0,32,IFERROR(RANK(Valor_normalizado!L176,Valor_normalizado!L$162:L$193,0),"NA"))</f>
        <v>15</v>
      </c>
      <c r="M176" s="66">
        <f>IF(Valor_normalizado!M176=0,32,IFERROR(RANK(Valor_normalizado!M176,Valor_normalizado!M$162:M$193,0),"NA"))</f>
        <v>26</v>
      </c>
      <c r="N176" s="66">
        <f>IF(Valor_normalizado!N176=0,32,IFERROR(RANK(Valor_normalizado!N176,Valor_normalizado!N$162:N$193,0),"NA"))</f>
        <v>32</v>
      </c>
      <c r="O176" s="66">
        <f>IF(Valor_normalizado!O176=0,32,IFERROR(RANK(Valor_normalizado!O176,Valor_normalizado!O$162:O$193,0),"NA"))</f>
        <v>25</v>
      </c>
      <c r="P176" s="66">
        <f>IF(Valor_normalizado!P176=0,32,IFERROR(RANK(Valor_normalizado!P176,Valor_normalizado!P$162:P$193,0),"NA"))</f>
        <v>32</v>
      </c>
      <c r="Q176" s="66">
        <f>IF(Valor_normalizado!Q176=0,32,IFERROR(RANK(Valor_normalizado!Q176,Valor_normalizado!Q$162:Q$193,0),"NA"))</f>
        <v>32</v>
      </c>
      <c r="R176" s="66">
        <f>IF(Valor_normalizado!R176=0,32,IFERROR(RANK(Valor_normalizado!R176,Valor_normalizado!R$162:R$193,0),"NA"))</f>
        <v>27</v>
      </c>
      <c r="S176" s="66">
        <f>IF(Valor_normalizado!S176=0,32,IFERROR(RANK(Valor_normalizado!S176,Valor_normalizado!S$162:S$193,0),"NA"))</f>
        <v>32</v>
      </c>
      <c r="T176" s="66">
        <f>IF(Valor_normalizado!T176=0,32,IFERROR(RANK(Valor_normalizado!T176,Valor_normalizado!T$162:T$193,0),"NA"))</f>
        <v>17</v>
      </c>
      <c r="U176" s="66">
        <f>IF(Valor_normalizado!U176=0,32,IFERROR(RANK(Valor_normalizado!U176,Valor_normalizado!U$162:U$193,0),"NA"))</f>
        <v>2</v>
      </c>
      <c r="V176" s="66">
        <f>IF(Valor_normalizado!V176=0,32,IFERROR(RANK(Valor_normalizado!V176,Valor_normalizado!V$162:V$193,0),"NA"))</f>
        <v>18</v>
      </c>
      <c r="W176" s="66">
        <f>IF(Valor_normalizado!W176=0,32,IFERROR(RANK(Valor_normalizado!W176,Valor_normalizado!W$162:W$193,0),"NA"))</f>
        <v>9</v>
      </c>
      <c r="X176" s="66">
        <f>IF(Valor_normalizado!X176=0,32,IFERROR(RANK(Valor_normalizado!X176,Valor_normalizado!X$162:X$193,0),"NA"))</f>
        <v>22</v>
      </c>
      <c r="Y176" s="66">
        <f>IF(Valor_normalizado!Y176=0,32,IFERROR(RANK(Valor_normalizado!Y176,Valor_normalizado!Y$162:Y$193,0),"NA"))</f>
        <v>16</v>
      </c>
    </row>
    <row r="177" ht="14.25" hidden="1" customHeight="1">
      <c r="A177" s="51" t="s">
        <v>331</v>
      </c>
      <c r="B177" s="23">
        <v>2024.0</v>
      </c>
      <c r="C177" s="66">
        <f>IF(Valor_normalizado!C177=0,32,IFERROR(RANK(Valor_normalizado!C177,Valor_normalizado!C$162:C$193,0),"NA"))</f>
        <v>18</v>
      </c>
      <c r="D177" s="66">
        <f>IF(Valor_normalizado!D177=0,32,IFERROR(RANK(Valor_normalizado!D177,Valor_normalizado!D$162:D$193,0),"NA"))</f>
        <v>21</v>
      </c>
      <c r="E177" s="66">
        <f>IF(Valor_normalizado!E177=0,32,IFERROR(RANK(Valor_normalizado!E177,Valor_normalizado!E$162:E$193,0),"NA"))</f>
        <v>19</v>
      </c>
      <c r="F177" s="66">
        <f>IF(Valor_normalizado!F177=0,32,IFERROR(RANK(Valor_normalizado!F177,Valor_normalizado!F$162:F$193,0),"NA"))</f>
        <v>23</v>
      </c>
      <c r="G177" s="66">
        <f>IF(Valor_normalizado!G177=0,32,IFERROR(RANK(Valor_normalizado!G177,Valor_normalizado!G$162:G$193,0),"NA"))</f>
        <v>20</v>
      </c>
      <c r="H177" s="66">
        <f>IF(Valor_normalizado!H177=0,32,IFERROR(RANK(Valor_normalizado!H177,Valor_normalizado!H$162:H$193,0),"NA"))</f>
        <v>19</v>
      </c>
      <c r="I177" s="66">
        <f>IF(Valor_normalizado!I177=0,32,IFERROR(RANK(Valor_normalizado!I177,Valor_normalizado!I$162:I$193,0),"NA"))</f>
        <v>15</v>
      </c>
      <c r="J177" s="66">
        <f>IF(Valor_normalizado!J177=0,32,IFERROR(RANK(Valor_normalizado!J177,Valor_normalizado!J$162:J$193,0),"NA"))</f>
        <v>14</v>
      </c>
      <c r="K177" s="66">
        <f>IF(Valor_normalizado!K177=0,32,IFERROR(RANK(Valor_normalizado!K177,Valor_normalizado!K$162:K$193,0),"NA"))</f>
        <v>15</v>
      </c>
      <c r="L177" s="66">
        <f>IF(Valor_normalizado!L177=0,32,IFERROR(RANK(Valor_normalizado!L177,Valor_normalizado!L$162:L$193,0),"NA"))</f>
        <v>16</v>
      </c>
      <c r="M177" s="66">
        <f>IF(Valor_normalizado!M177=0,32,IFERROR(RANK(Valor_normalizado!M177,Valor_normalizado!M$162:M$193,0),"NA"))</f>
        <v>13</v>
      </c>
      <c r="N177" s="66">
        <f>IF(Valor_normalizado!N177=0,32,IFERROR(RANK(Valor_normalizado!N177,Valor_normalizado!N$162:N$193,0),"NA"))</f>
        <v>13</v>
      </c>
      <c r="O177" s="66">
        <f>IF(Valor_normalizado!O177=0,32,IFERROR(RANK(Valor_normalizado!O177,Valor_normalizado!O$162:O$193,0),"NA"))</f>
        <v>14</v>
      </c>
      <c r="P177" s="66">
        <f>IF(Valor_normalizado!P177=0,32,IFERROR(RANK(Valor_normalizado!P177,Valor_normalizado!P$162:P$193,0),"NA"))</f>
        <v>32</v>
      </c>
      <c r="Q177" s="66">
        <f>IF(Valor_normalizado!Q177=0,32,IFERROR(RANK(Valor_normalizado!Q177,Valor_normalizado!Q$162:Q$193,0),"NA"))</f>
        <v>6</v>
      </c>
      <c r="R177" s="66">
        <f>IF(Valor_normalizado!R177=0,32,IFERROR(RANK(Valor_normalizado!R177,Valor_normalizado!R$162:R$193,0),"NA"))</f>
        <v>20</v>
      </c>
      <c r="S177" s="66">
        <f>IF(Valor_normalizado!S177=0,32,IFERROR(RANK(Valor_normalizado!S177,Valor_normalizado!S$162:S$193,0),"NA"))</f>
        <v>15</v>
      </c>
      <c r="T177" s="66">
        <f>IF(Valor_normalizado!T177=0,32,IFERROR(RANK(Valor_normalizado!T177,Valor_normalizado!T$162:T$193,0),"NA"))</f>
        <v>32</v>
      </c>
      <c r="U177" s="66">
        <f>IF(Valor_normalizado!U177=0,32,IFERROR(RANK(Valor_normalizado!U177,Valor_normalizado!U$162:U$193,0),"NA"))</f>
        <v>12</v>
      </c>
      <c r="V177" s="66">
        <f>IF(Valor_normalizado!V177=0,32,IFERROR(RANK(Valor_normalizado!V177,Valor_normalizado!V$162:V$193,0),"NA"))</f>
        <v>15</v>
      </c>
      <c r="W177" s="66">
        <f>IF(Valor_normalizado!W177=0,32,IFERROR(RANK(Valor_normalizado!W177,Valor_normalizado!W$162:W$193,0),"NA"))</f>
        <v>20</v>
      </c>
      <c r="X177" s="66">
        <f>IF(Valor_normalizado!X177=0,32,IFERROR(RANK(Valor_normalizado!X177,Valor_normalizado!X$162:X$193,0),"NA"))</f>
        <v>18</v>
      </c>
      <c r="Y177" s="66">
        <f>IF(Valor_normalizado!Y177=0,32,IFERROR(RANK(Valor_normalizado!Y177,Valor_normalizado!Y$162:Y$193,0),"NA"))</f>
        <v>11</v>
      </c>
    </row>
    <row r="178" ht="14.25" hidden="1" customHeight="1">
      <c r="A178" s="49" t="s">
        <v>328</v>
      </c>
      <c r="B178" s="23">
        <v>2024.0</v>
      </c>
      <c r="C178" s="66">
        <f>IF(Valor_normalizado!C178=0,32,IFERROR(RANK(Valor_normalizado!C178,Valor_normalizado!C$162:C$193,0),"NA"))</f>
        <v>20</v>
      </c>
      <c r="D178" s="66">
        <f>IF(Valor_normalizado!D178=0,32,IFERROR(RANK(Valor_normalizado!D178,Valor_normalizado!D$162:D$193,0),"NA"))</f>
        <v>17</v>
      </c>
      <c r="E178" s="66">
        <f>IF(Valor_normalizado!E178=0,32,IFERROR(RANK(Valor_normalizado!E178,Valor_normalizado!E$162:E$193,0),"NA"))</f>
        <v>15</v>
      </c>
      <c r="F178" s="66">
        <f>IF(Valor_normalizado!F178=0,32,IFERROR(RANK(Valor_normalizado!F178,Valor_normalizado!F$162:F$193,0),"NA"))</f>
        <v>16</v>
      </c>
      <c r="G178" s="66">
        <f>IF(Valor_normalizado!G178=0,32,IFERROR(RANK(Valor_normalizado!G178,Valor_normalizado!G$162:G$193,0),"NA"))</f>
        <v>17</v>
      </c>
      <c r="H178" s="66">
        <f>IF(Valor_normalizado!H178=0,32,IFERROR(RANK(Valor_normalizado!H178,Valor_normalizado!H$162:H$193,0),"NA"))</f>
        <v>15</v>
      </c>
      <c r="I178" s="66">
        <f>IF(Valor_normalizado!I178=0,32,IFERROR(RANK(Valor_normalizado!I178,Valor_normalizado!I$162:I$193,0),"NA"))</f>
        <v>19</v>
      </c>
      <c r="J178" s="66">
        <f>IF(Valor_normalizado!J178=0,32,IFERROR(RANK(Valor_normalizado!J178,Valor_normalizado!J$162:J$193,0),"NA"))</f>
        <v>19</v>
      </c>
      <c r="K178" s="66">
        <f>IF(Valor_normalizado!K178=0,32,IFERROR(RANK(Valor_normalizado!K178,Valor_normalizado!K$162:K$193,0),"NA"))</f>
        <v>20</v>
      </c>
      <c r="L178" s="66">
        <f>IF(Valor_normalizado!L178=0,32,IFERROR(RANK(Valor_normalizado!L178,Valor_normalizado!L$162:L$193,0),"NA"))</f>
        <v>17</v>
      </c>
      <c r="M178" s="66">
        <f>IF(Valor_normalizado!M178=0,32,IFERROR(RANK(Valor_normalizado!M178,Valor_normalizado!M$162:M$193,0),"NA"))</f>
        <v>21</v>
      </c>
      <c r="N178" s="66">
        <f>IF(Valor_normalizado!N178=0,32,IFERROR(RANK(Valor_normalizado!N178,Valor_normalizado!N$162:N$193,0),"NA"))</f>
        <v>10</v>
      </c>
      <c r="O178" s="66">
        <f>IF(Valor_normalizado!O178=0,32,IFERROR(RANK(Valor_normalizado!O178,Valor_normalizado!O$162:O$193,0),"NA"))</f>
        <v>23</v>
      </c>
      <c r="P178" s="66">
        <f>IF(Valor_normalizado!P178=0,32,IFERROR(RANK(Valor_normalizado!P178,Valor_normalizado!P$162:P$193,0),"NA"))</f>
        <v>13</v>
      </c>
      <c r="Q178" s="66">
        <f>IF(Valor_normalizado!Q178=0,32,IFERROR(RANK(Valor_normalizado!Q178,Valor_normalizado!Q$162:Q$193,0),"NA"))</f>
        <v>12</v>
      </c>
      <c r="R178" s="66">
        <f>IF(Valor_normalizado!R178=0,32,IFERROR(RANK(Valor_normalizado!R178,Valor_normalizado!R$162:R$193,0),"NA"))</f>
        <v>19</v>
      </c>
      <c r="S178" s="66">
        <f>IF(Valor_normalizado!S178=0,32,IFERROR(RANK(Valor_normalizado!S178,Valor_normalizado!S$162:S$193,0),"NA"))</f>
        <v>16</v>
      </c>
      <c r="T178" s="66">
        <f>IF(Valor_normalizado!T178=0,32,IFERROR(RANK(Valor_normalizado!T178,Valor_normalizado!T$162:T$193,0),"NA"))</f>
        <v>32</v>
      </c>
      <c r="U178" s="66">
        <f>IF(Valor_normalizado!U178=0,32,IFERROR(RANK(Valor_normalizado!U178,Valor_normalizado!U$162:U$193,0),"NA"))</f>
        <v>18</v>
      </c>
      <c r="V178" s="66">
        <f>IF(Valor_normalizado!V178=0,32,IFERROR(RANK(Valor_normalizado!V178,Valor_normalizado!V$162:V$193,0),"NA"))</f>
        <v>19</v>
      </c>
      <c r="W178" s="66">
        <f>IF(Valor_normalizado!W178=0,32,IFERROR(RANK(Valor_normalizado!W178,Valor_normalizado!W$162:W$193,0),"NA"))</f>
        <v>22</v>
      </c>
      <c r="X178" s="66">
        <f>IF(Valor_normalizado!X178=0,32,IFERROR(RANK(Valor_normalizado!X178,Valor_normalizado!X$162:X$193,0),"NA"))</f>
        <v>20</v>
      </c>
      <c r="Y178" s="66">
        <f>IF(Valor_normalizado!Y178=0,32,IFERROR(RANK(Valor_normalizado!Y178,Valor_normalizado!Y$162:Y$193,0),"NA"))</f>
        <v>17</v>
      </c>
    </row>
    <row r="179" ht="14.25" hidden="1" customHeight="1">
      <c r="A179" s="51" t="s">
        <v>312</v>
      </c>
      <c r="B179" s="23">
        <v>2024.0</v>
      </c>
      <c r="C179" s="66">
        <f>IF(Valor_normalizado!C179=0,32,IFERROR(RANK(Valor_normalizado!C179,Valor_normalizado!C$162:C$193,0),"NA"))</f>
        <v>17</v>
      </c>
      <c r="D179" s="66">
        <f>IF(Valor_normalizado!D179=0,32,IFERROR(RANK(Valor_normalizado!D179,Valor_normalizado!D$162:D$193,0),"NA"))</f>
        <v>18</v>
      </c>
      <c r="E179" s="66">
        <f>IF(Valor_normalizado!E179=0,32,IFERROR(RANK(Valor_normalizado!E179,Valor_normalizado!E$162:E$193,0),"NA"))</f>
        <v>27</v>
      </c>
      <c r="F179" s="66">
        <f>IF(Valor_normalizado!F179=0,32,IFERROR(RANK(Valor_normalizado!F179,Valor_normalizado!F$162:F$193,0),"NA"))</f>
        <v>19</v>
      </c>
      <c r="G179" s="66">
        <f>IF(Valor_normalizado!G179=0,32,IFERROR(RANK(Valor_normalizado!G179,Valor_normalizado!G$162:G$193,0),"NA"))</f>
        <v>18</v>
      </c>
      <c r="H179" s="66">
        <f>IF(Valor_normalizado!H179=0,32,IFERROR(RANK(Valor_normalizado!H179,Valor_normalizado!H$162:H$193,0),"NA"))</f>
        <v>22</v>
      </c>
      <c r="I179" s="66">
        <f>IF(Valor_normalizado!I179=0,32,IFERROR(RANK(Valor_normalizado!I179,Valor_normalizado!I$162:I$193,0),"NA"))</f>
        <v>20</v>
      </c>
      <c r="J179" s="66">
        <f>IF(Valor_normalizado!J179=0,32,IFERROR(RANK(Valor_normalizado!J179,Valor_normalizado!J$162:J$193,0),"NA"))</f>
        <v>13</v>
      </c>
      <c r="K179" s="66">
        <f>IF(Valor_normalizado!K179=0,32,IFERROR(RANK(Valor_normalizado!K179,Valor_normalizado!K$162:K$193,0),"NA"))</f>
        <v>19</v>
      </c>
      <c r="L179" s="66">
        <f>IF(Valor_normalizado!L179=0,32,IFERROR(RANK(Valor_normalizado!L179,Valor_normalizado!L$162:L$193,0),"NA"))</f>
        <v>18</v>
      </c>
      <c r="M179" s="66">
        <f>IF(Valor_normalizado!M179=0,32,IFERROR(RANK(Valor_normalizado!M179,Valor_normalizado!M$162:M$193,0),"NA"))</f>
        <v>10</v>
      </c>
      <c r="N179" s="66">
        <f>IF(Valor_normalizado!N179=0,32,IFERROR(RANK(Valor_normalizado!N179,Valor_normalizado!N$162:N$193,0),"NA"))</f>
        <v>6</v>
      </c>
      <c r="O179" s="66">
        <f>IF(Valor_normalizado!O179=0,32,IFERROR(RANK(Valor_normalizado!O179,Valor_normalizado!O$162:O$193,0),"NA"))</f>
        <v>18</v>
      </c>
      <c r="P179" s="66">
        <f>IF(Valor_normalizado!P179=0,32,IFERROR(RANK(Valor_normalizado!P179,Valor_normalizado!P$162:P$193,0),"NA"))</f>
        <v>16</v>
      </c>
      <c r="Q179" s="66">
        <f>IF(Valor_normalizado!Q179=0,32,IFERROR(RANK(Valor_normalizado!Q179,Valor_normalizado!Q$162:Q$193,0),"NA"))</f>
        <v>7</v>
      </c>
      <c r="R179" s="66">
        <f>IF(Valor_normalizado!R179=0,32,IFERROR(RANK(Valor_normalizado!R179,Valor_normalizado!R$162:R$193,0),"NA"))</f>
        <v>10</v>
      </c>
      <c r="S179" s="66">
        <f>IF(Valor_normalizado!S179=0,32,IFERROR(RANK(Valor_normalizado!S179,Valor_normalizado!S$162:S$193,0),"NA"))</f>
        <v>21</v>
      </c>
      <c r="T179" s="66">
        <f>IF(Valor_normalizado!T179=0,32,IFERROR(RANK(Valor_normalizado!T179,Valor_normalizado!T$162:T$193,0),"NA"))</f>
        <v>18</v>
      </c>
      <c r="U179" s="66">
        <f>IF(Valor_normalizado!U179=0,32,IFERROR(RANK(Valor_normalizado!U179,Valor_normalizado!U$162:U$193,0),"NA"))</f>
        <v>14</v>
      </c>
      <c r="V179" s="66">
        <f>IF(Valor_normalizado!V179=0,32,IFERROR(RANK(Valor_normalizado!V179,Valor_normalizado!V$162:V$193,0),"NA"))</f>
        <v>14</v>
      </c>
      <c r="W179" s="66">
        <f>IF(Valor_normalizado!W179=0,32,IFERROR(RANK(Valor_normalizado!W179,Valor_normalizado!W$162:W$193,0),"NA"))</f>
        <v>19</v>
      </c>
      <c r="X179" s="66">
        <f>IF(Valor_normalizado!X179=0,32,IFERROR(RANK(Valor_normalizado!X179,Valor_normalizado!X$162:X$193,0),"NA"))</f>
        <v>13</v>
      </c>
      <c r="Y179" s="66">
        <f>IF(Valor_normalizado!Y179=0,32,IFERROR(RANK(Valor_normalizado!Y179,Valor_normalizado!Y$162:Y$193,0),"NA"))</f>
        <v>15</v>
      </c>
    </row>
    <row r="180" ht="14.25" hidden="1" customHeight="1">
      <c r="A180" s="49" t="s">
        <v>314</v>
      </c>
      <c r="B180" s="23">
        <v>2024.0</v>
      </c>
      <c r="C180" s="66">
        <f>IF(Valor_normalizado!C180=0,32,IFERROR(RANK(Valor_normalizado!C180,Valor_normalizado!C$162:C$193,0),"NA"))</f>
        <v>21</v>
      </c>
      <c r="D180" s="66">
        <f>IF(Valor_normalizado!D180=0,32,IFERROR(RANK(Valor_normalizado!D180,Valor_normalizado!D$162:D$193,0),"NA"))</f>
        <v>24</v>
      </c>
      <c r="E180" s="66">
        <f>IF(Valor_normalizado!E180=0,32,IFERROR(RANK(Valor_normalizado!E180,Valor_normalizado!E$162:E$193,0),"NA"))</f>
        <v>23</v>
      </c>
      <c r="F180" s="66">
        <f>IF(Valor_normalizado!F180=0,32,IFERROR(RANK(Valor_normalizado!F180,Valor_normalizado!F$162:F$193,0),"NA"))</f>
        <v>24</v>
      </c>
      <c r="G180" s="66">
        <f>IF(Valor_normalizado!G180=0,32,IFERROR(RANK(Valor_normalizado!G180,Valor_normalizado!G$162:G$193,0),"NA"))</f>
        <v>24</v>
      </c>
      <c r="H180" s="66">
        <f>IF(Valor_normalizado!H180=0,32,IFERROR(RANK(Valor_normalizado!H180,Valor_normalizado!H$162:H$193,0),"NA"))</f>
        <v>16</v>
      </c>
      <c r="I180" s="66">
        <f>IF(Valor_normalizado!I180=0,32,IFERROR(RANK(Valor_normalizado!I180,Valor_normalizado!I$162:I$193,0),"NA"))</f>
        <v>16</v>
      </c>
      <c r="J180" s="66">
        <f>IF(Valor_normalizado!J180=0,32,IFERROR(RANK(Valor_normalizado!J180,Valor_normalizado!J$162:J$193,0),"NA"))</f>
        <v>10</v>
      </c>
      <c r="K180" s="66">
        <f>IF(Valor_normalizado!K180=0,32,IFERROR(RANK(Valor_normalizado!K180,Valor_normalizado!K$162:K$193,0),"NA"))</f>
        <v>14</v>
      </c>
      <c r="L180" s="66">
        <f>IF(Valor_normalizado!L180=0,32,IFERROR(RANK(Valor_normalizado!L180,Valor_normalizado!L$162:L$193,0),"NA"))</f>
        <v>19</v>
      </c>
      <c r="M180" s="66">
        <f>IF(Valor_normalizado!M180=0,32,IFERROR(RANK(Valor_normalizado!M180,Valor_normalizado!M$162:M$193,0),"NA"))</f>
        <v>19</v>
      </c>
      <c r="N180" s="66">
        <f>IF(Valor_normalizado!N180=0,32,IFERROR(RANK(Valor_normalizado!N180,Valor_normalizado!N$162:N$193,0),"NA"))</f>
        <v>32</v>
      </c>
      <c r="O180" s="66">
        <f>IF(Valor_normalizado!O180=0,32,IFERROR(RANK(Valor_normalizado!O180,Valor_normalizado!O$162:O$193,0),"NA"))</f>
        <v>20</v>
      </c>
      <c r="P180" s="66">
        <f>IF(Valor_normalizado!P180=0,32,IFERROR(RANK(Valor_normalizado!P180,Valor_normalizado!P$162:P$193,0),"NA"))</f>
        <v>19</v>
      </c>
      <c r="Q180" s="66">
        <f>IF(Valor_normalizado!Q180=0,32,IFERROR(RANK(Valor_normalizado!Q180,Valor_normalizado!Q$162:Q$193,0),"NA"))</f>
        <v>24</v>
      </c>
      <c r="R180" s="66">
        <f>IF(Valor_normalizado!R180=0,32,IFERROR(RANK(Valor_normalizado!R180,Valor_normalizado!R$162:R$193,0),"NA"))</f>
        <v>22</v>
      </c>
      <c r="S180" s="66">
        <f>IF(Valor_normalizado!S180=0,32,IFERROR(RANK(Valor_normalizado!S180,Valor_normalizado!S$162:S$193,0),"NA"))</f>
        <v>17</v>
      </c>
      <c r="T180" s="66">
        <f>IF(Valor_normalizado!T180=0,32,IFERROR(RANK(Valor_normalizado!T180,Valor_normalizado!T$162:T$193,0),"NA"))</f>
        <v>32</v>
      </c>
      <c r="U180" s="66">
        <f>IF(Valor_normalizado!U180=0,32,IFERROR(RANK(Valor_normalizado!U180,Valor_normalizado!U$162:U$193,0),"NA"))</f>
        <v>32</v>
      </c>
      <c r="V180" s="66">
        <f>IF(Valor_normalizado!V180=0,32,IFERROR(RANK(Valor_normalizado!V180,Valor_normalizado!V$162:V$193,0),"NA"))</f>
        <v>28</v>
      </c>
      <c r="W180" s="66">
        <f>IF(Valor_normalizado!W180=0,32,IFERROR(RANK(Valor_normalizado!W180,Valor_normalizado!W$162:W$193,0),"NA"))</f>
        <v>27</v>
      </c>
      <c r="X180" s="66">
        <f>IF(Valor_normalizado!X180=0,32,IFERROR(RANK(Valor_normalizado!X180,Valor_normalizado!X$162:X$193,0),"NA"))</f>
        <v>25</v>
      </c>
      <c r="Y180" s="66">
        <f>IF(Valor_normalizado!Y180=0,32,IFERROR(RANK(Valor_normalizado!Y180,Valor_normalizado!Y$162:Y$193,0),"NA"))</f>
        <v>22</v>
      </c>
    </row>
    <row r="181" ht="14.25" hidden="1" customHeight="1">
      <c r="A181" s="51" t="s">
        <v>309</v>
      </c>
      <c r="B181" s="23">
        <v>2024.0</v>
      </c>
      <c r="C181" s="66">
        <f>IF(Valor_normalizado!C181=0,32,IFERROR(RANK(Valor_normalizado!C181,Valor_normalizado!C$162:C$193,0),"NA"))</f>
        <v>22</v>
      </c>
      <c r="D181" s="66">
        <f>IF(Valor_normalizado!D181=0,32,IFERROR(RANK(Valor_normalizado!D181,Valor_normalizado!D$162:D$193,0),"NA"))</f>
        <v>13</v>
      </c>
      <c r="E181" s="66">
        <f>IF(Valor_normalizado!E181=0,32,IFERROR(RANK(Valor_normalizado!E181,Valor_normalizado!E$162:E$193,0),"NA"))</f>
        <v>21</v>
      </c>
      <c r="F181" s="66">
        <f>IF(Valor_normalizado!F181=0,32,IFERROR(RANK(Valor_normalizado!F181,Valor_normalizado!F$162:F$193,0),"NA"))</f>
        <v>22</v>
      </c>
      <c r="G181" s="66">
        <f>IF(Valor_normalizado!G181=0,32,IFERROR(RANK(Valor_normalizado!G181,Valor_normalizado!G$162:G$193,0),"NA"))</f>
        <v>21</v>
      </c>
      <c r="H181" s="66">
        <f>IF(Valor_normalizado!H181=0,32,IFERROR(RANK(Valor_normalizado!H181,Valor_normalizado!H$162:H$193,0),"NA"))</f>
        <v>21</v>
      </c>
      <c r="I181" s="66">
        <f>IF(Valor_normalizado!I181=0,32,IFERROR(RANK(Valor_normalizado!I181,Valor_normalizado!I$162:I$193,0),"NA"))</f>
        <v>17</v>
      </c>
      <c r="J181" s="66">
        <f>IF(Valor_normalizado!J181=0,32,IFERROR(RANK(Valor_normalizado!J181,Valor_normalizado!J$162:J$193,0),"NA"))</f>
        <v>15</v>
      </c>
      <c r="K181" s="66">
        <f>IF(Valor_normalizado!K181=0,32,IFERROR(RANK(Valor_normalizado!K181,Valor_normalizado!K$162:K$193,0),"NA"))</f>
        <v>18</v>
      </c>
      <c r="L181" s="66">
        <f>IF(Valor_normalizado!L181=0,32,IFERROR(RANK(Valor_normalizado!L181,Valor_normalizado!L$162:L$193,0),"NA"))</f>
        <v>20</v>
      </c>
      <c r="M181" s="66">
        <f>IF(Valor_normalizado!M181=0,32,IFERROR(RANK(Valor_normalizado!M181,Valor_normalizado!M$162:M$193,0),"NA"))</f>
        <v>16</v>
      </c>
      <c r="N181" s="66">
        <f>IF(Valor_normalizado!N181=0,32,IFERROR(RANK(Valor_normalizado!N181,Valor_normalizado!N$162:N$193,0),"NA"))</f>
        <v>32</v>
      </c>
      <c r="O181" s="66">
        <f>IF(Valor_normalizado!O181=0,32,IFERROR(RANK(Valor_normalizado!O181,Valor_normalizado!O$162:O$193,0),"NA"))</f>
        <v>15</v>
      </c>
      <c r="P181" s="66">
        <f>IF(Valor_normalizado!P181=0,32,IFERROR(RANK(Valor_normalizado!P181,Valor_normalizado!P$162:P$193,0),"NA"))</f>
        <v>18</v>
      </c>
      <c r="Q181" s="66">
        <f>IF(Valor_normalizado!Q181=0,32,IFERROR(RANK(Valor_normalizado!Q181,Valor_normalizado!Q$162:Q$193,0),"NA"))</f>
        <v>10</v>
      </c>
      <c r="R181" s="66">
        <f>IF(Valor_normalizado!R181=0,32,IFERROR(RANK(Valor_normalizado!R181,Valor_normalizado!R$162:R$193,0),"NA"))</f>
        <v>18</v>
      </c>
      <c r="S181" s="66">
        <f>IF(Valor_normalizado!S181=0,32,IFERROR(RANK(Valor_normalizado!S181,Valor_normalizado!S$162:S$193,0),"NA"))</f>
        <v>32</v>
      </c>
      <c r="T181" s="66">
        <f>IF(Valor_normalizado!T181=0,32,IFERROR(RANK(Valor_normalizado!T181,Valor_normalizado!T$162:T$193,0),"NA"))</f>
        <v>14</v>
      </c>
      <c r="U181" s="66">
        <f>IF(Valor_normalizado!U181=0,32,IFERROR(RANK(Valor_normalizado!U181,Valor_normalizado!U$162:U$193,0),"NA"))</f>
        <v>21</v>
      </c>
      <c r="V181" s="66">
        <f>IF(Valor_normalizado!V181=0,32,IFERROR(RANK(Valor_normalizado!V181,Valor_normalizado!V$162:V$193,0),"NA"))</f>
        <v>21</v>
      </c>
      <c r="W181" s="66">
        <f>IF(Valor_normalizado!W181=0,32,IFERROR(RANK(Valor_normalizado!W181,Valor_normalizado!W$162:W$193,0),"NA"))</f>
        <v>21</v>
      </c>
      <c r="X181" s="66">
        <f>IF(Valor_normalizado!X181=0,32,IFERROR(RANK(Valor_normalizado!X181,Valor_normalizado!X$162:X$193,0),"NA"))</f>
        <v>19</v>
      </c>
      <c r="Y181" s="66">
        <f>IF(Valor_normalizado!Y181=0,32,IFERROR(RANK(Valor_normalizado!Y181,Valor_normalizado!Y$162:Y$193,0),"NA"))</f>
        <v>23</v>
      </c>
    </row>
    <row r="182" ht="14.25" hidden="1" customHeight="1">
      <c r="A182" s="49" t="s">
        <v>316</v>
      </c>
      <c r="B182" s="23">
        <v>2024.0</v>
      </c>
      <c r="C182" s="66">
        <f>IF(Valor_normalizado!C182=0,32,IFERROR(RANK(Valor_normalizado!C182,Valor_normalizado!C$162:C$193,0),"NA"))</f>
        <v>23</v>
      </c>
      <c r="D182" s="66">
        <f>IF(Valor_normalizado!D182=0,32,IFERROR(RANK(Valor_normalizado!D182,Valor_normalizado!D$162:D$193,0),"NA"))</f>
        <v>23</v>
      </c>
      <c r="E182" s="66">
        <f>IF(Valor_normalizado!E182=0,32,IFERROR(RANK(Valor_normalizado!E182,Valor_normalizado!E$162:E$193,0),"NA"))</f>
        <v>23</v>
      </c>
      <c r="F182" s="66">
        <f>IF(Valor_normalizado!F182=0,32,IFERROR(RANK(Valor_normalizado!F182,Valor_normalizado!F$162:F$193,0),"NA"))</f>
        <v>20</v>
      </c>
      <c r="G182" s="66">
        <f>IF(Valor_normalizado!G182=0,32,IFERROR(RANK(Valor_normalizado!G182,Valor_normalizado!G$162:G$193,0),"NA"))</f>
        <v>22</v>
      </c>
      <c r="H182" s="66">
        <f>IF(Valor_normalizado!H182=0,32,IFERROR(RANK(Valor_normalizado!H182,Valor_normalizado!H$162:H$193,0),"NA"))</f>
        <v>12</v>
      </c>
      <c r="I182" s="66">
        <f>IF(Valor_normalizado!I182=0,32,IFERROR(RANK(Valor_normalizado!I182,Valor_normalizado!I$162:I$193,0),"NA"))</f>
        <v>12</v>
      </c>
      <c r="J182" s="66">
        <f>IF(Valor_normalizado!J182=0,32,IFERROR(RANK(Valor_normalizado!J182,Valor_normalizado!J$162:J$193,0),"NA"))</f>
        <v>26</v>
      </c>
      <c r="K182" s="66">
        <f>IF(Valor_normalizado!K182=0,32,IFERROR(RANK(Valor_normalizado!K182,Valor_normalizado!K$162:K$193,0),"NA"))</f>
        <v>16</v>
      </c>
      <c r="L182" s="66">
        <f>IF(Valor_normalizado!L182=0,32,IFERROR(RANK(Valor_normalizado!L182,Valor_normalizado!L$162:L$193,0),"NA"))</f>
        <v>21</v>
      </c>
      <c r="M182" s="66">
        <f>IF(Valor_normalizado!M182=0,32,IFERROR(RANK(Valor_normalizado!M182,Valor_normalizado!M$162:M$193,0),"NA"))</f>
        <v>12</v>
      </c>
      <c r="N182" s="66">
        <f>IF(Valor_normalizado!N182=0,32,IFERROR(RANK(Valor_normalizado!N182,Valor_normalizado!N$162:N$193,0),"NA"))</f>
        <v>14</v>
      </c>
      <c r="O182" s="66">
        <f>IF(Valor_normalizado!O182=0,32,IFERROR(RANK(Valor_normalizado!O182,Valor_normalizado!O$162:O$193,0),"NA"))</f>
        <v>11</v>
      </c>
      <c r="P182" s="66">
        <f>IF(Valor_normalizado!P182=0,32,IFERROR(RANK(Valor_normalizado!P182,Valor_normalizado!P$162:P$193,0),"NA"))</f>
        <v>11</v>
      </c>
      <c r="Q182" s="66">
        <f>IF(Valor_normalizado!Q182=0,32,IFERROR(RANK(Valor_normalizado!Q182,Valor_normalizado!Q$162:Q$193,0),"NA"))</f>
        <v>4</v>
      </c>
      <c r="R182" s="66">
        <f>IF(Valor_normalizado!R182=0,32,IFERROR(RANK(Valor_normalizado!R182,Valor_normalizado!R$162:R$193,0),"NA"))</f>
        <v>11</v>
      </c>
      <c r="S182" s="66">
        <f>IF(Valor_normalizado!S182=0,32,IFERROR(RANK(Valor_normalizado!S182,Valor_normalizado!S$162:S$193,0),"NA"))</f>
        <v>20</v>
      </c>
      <c r="T182" s="66">
        <f>IF(Valor_normalizado!T182=0,32,IFERROR(RANK(Valor_normalizado!T182,Valor_normalizado!T$162:T$193,0),"NA"))</f>
        <v>19</v>
      </c>
      <c r="U182" s="66">
        <f>IF(Valor_normalizado!U182=0,32,IFERROR(RANK(Valor_normalizado!U182,Valor_normalizado!U$162:U$193,0),"NA"))</f>
        <v>32</v>
      </c>
      <c r="V182" s="66">
        <f>IF(Valor_normalizado!V182=0,32,IFERROR(RANK(Valor_normalizado!V182,Valor_normalizado!V$162:V$193,0),"NA"))</f>
        <v>22</v>
      </c>
      <c r="W182" s="66">
        <f>IF(Valor_normalizado!W182=0,32,IFERROR(RANK(Valor_normalizado!W182,Valor_normalizado!W$162:W$193,0),"NA"))</f>
        <v>24</v>
      </c>
      <c r="X182" s="66">
        <f>IF(Valor_normalizado!X182=0,32,IFERROR(RANK(Valor_normalizado!X182,Valor_normalizado!X$162:X$193,0),"NA"))</f>
        <v>17</v>
      </c>
      <c r="Y182" s="66">
        <f>IF(Valor_normalizado!Y182=0,32,IFERROR(RANK(Valor_normalizado!Y182,Valor_normalizado!Y$162:Y$193,0),"NA"))</f>
        <v>18</v>
      </c>
    </row>
    <row r="183" ht="14.25" hidden="1" customHeight="1">
      <c r="A183" s="51" t="s">
        <v>333</v>
      </c>
      <c r="B183" s="23">
        <v>2024.0</v>
      </c>
      <c r="C183" s="66">
        <f>IF(Valor_normalizado!C183=0,32,IFERROR(RANK(Valor_normalizado!C183,Valor_normalizado!C$162:C$193,0),"NA"))</f>
        <v>19</v>
      </c>
      <c r="D183" s="66">
        <f>IF(Valor_normalizado!D183=0,32,IFERROR(RANK(Valor_normalizado!D183,Valor_normalizado!D$162:D$193,0),"NA"))</f>
        <v>16</v>
      </c>
      <c r="E183" s="66">
        <f>IF(Valor_normalizado!E183=0,32,IFERROR(RANK(Valor_normalizado!E183,Valor_normalizado!E$162:E$193,0),"NA"))</f>
        <v>25</v>
      </c>
      <c r="F183" s="66">
        <f>IF(Valor_normalizado!F183=0,32,IFERROR(RANK(Valor_normalizado!F183,Valor_normalizado!F$162:F$193,0),"NA"))</f>
        <v>13</v>
      </c>
      <c r="G183" s="66">
        <f>IF(Valor_normalizado!G183=0,32,IFERROR(RANK(Valor_normalizado!G183,Valor_normalizado!G$162:G$193,0),"NA"))</f>
        <v>19</v>
      </c>
      <c r="H183" s="66">
        <f>IF(Valor_normalizado!H183=0,32,IFERROR(RANK(Valor_normalizado!H183,Valor_normalizado!H$162:H$193,0),"NA"))</f>
        <v>17</v>
      </c>
      <c r="I183" s="66">
        <f>IF(Valor_normalizado!I183=0,32,IFERROR(RANK(Valor_normalizado!I183,Valor_normalizado!I$162:I$193,0),"NA"))</f>
        <v>21</v>
      </c>
      <c r="J183" s="66">
        <f>IF(Valor_normalizado!J183=0,32,IFERROR(RANK(Valor_normalizado!J183,Valor_normalizado!J$162:J$193,0),"NA"))</f>
        <v>23</v>
      </c>
      <c r="K183" s="66">
        <f>IF(Valor_normalizado!K183=0,32,IFERROR(RANK(Valor_normalizado!K183,Valor_normalizado!K$162:K$193,0),"NA"))</f>
        <v>23</v>
      </c>
      <c r="L183" s="66">
        <f>IF(Valor_normalizado!L183=0,32,IFERROR(RANK(Valor_normalizado!L183,Valor_normalizado!L$162:L$193,0),"NA"))</f>
        <v>22</v>
      </c>
      <c r="M183" s="66">
        <f>IF(Valor_normalizado!M183=0,32,IFERROR(RANK(Valor_normalizado!M183,Valor_normalizado!M$162:M$193,0),"NA"))</f>
        <v>23</v>
      </c>
      <c r="N183" s="66">
        <f>IF(Valor_normalizado!N183=0,32,IFERROR(RANK(Valor_normalizado!N183,Valor_normalizado!N$162:N$193,0),"NA"))</f>
        <v>32</v>
      </c>
      <c r="O183" s="66">
        <f>IF(Valor_normalizado!O183=0,32,IFERROR(RANK(Valor_normalizado!O183,Valor_normalizado!O$162:O$193,0),"NA"))</f>
        <v>24</v>
      </c>
      <c r="P183" s="66">
        <f>IF(Valor_normalizado!P183=0,32,IFERROR(RANK(Valor_normalizado!P183,Valor_normalizado!P$162:P$193,0),"NA"))</f>
        <v>23</v>
      </c>
      <c r="Q183" s="66">
        <f>IF(Valor_normalizado!Q183=0,32,IFERROR(RANK(Valor_normalizado!Q183,Valor_normalizado!Q$162:Q$193,0),"NA"))</f>
        <v>2</v>
      </c>
      <c r="R183" s="66">
        <f>IF(Valor_normalizado!R183=0,32,IFERROR(RANK(Valor_normalizado!R183,Valor_normalizado!R$162:R$193,0),"NA"))</f>
        <v>21</v>
      </c>
      <c r="S183" s="66">
        <f>IF(Valor_normalizado!S183=0,32,IFERROR(RANK(Valor_normalizado!S183,Valor_normalizado!S$162:S$193,0),"NA"))</f>
        <v>22</v>
      </c>
      <c r="T183" s="66">
        <f>IF(Valor_normalizado!T183=0,32,IFERROR(RANK(Valor_normalizado!T183,Valor_normalizado!T$162:T$193,0),"NA"))</f>
        <v>32</v>
      </c>
      <c r="U183" s="66">
        <f>IF(Valor_normalizado!U183=0,32,IFERROR(RANK(Valor_normalizado!U183,Valor_normalizado!U$162:U$193,0),"NA"))</f>
        <v>20</v>
      </c>
      <c r="V183" s="66">
        <f>IF(Valor_normalizado!V183=0,32,IFERROR(RANK(Valor_normalizado!V183,Valor_normalizado!V$162:V$193,0),"NA"))</f>
        <v>23</v>
      </c>
      <c r="W183" s="66">
        <f>IF(Valor_normalizado!W183=0,32,IFERROR(RANK(Valor_normalizado!W183,Valor_normalizado!W$162:W$193,0),"NA"))</f>
        <v>25</v>
      </c>
      <c r="X183" s="66">
        <f>IF(Valor_normalizado!X183=0,32,IFERROR(RANK(Valor_normalizado!X183,Valor_normalizado!X$162:X$193,0),"NA"))</f>
        <v>23</v>
      </c>
      <c r="Y183" s="66">
        <f>IF(Valor_normalizado!Y183=0,32,IFERROR(RANK(Valor_normalizado!Y183,Valor_normalizado!Y$162:Y$193,0),"NA"))</f>
        <v>20</v>
      </c>
    </row>
    <row r="184" ht="14.25" hidden="1" customHeight="1">
      <c r="A184" s="49" t="s">
        <v>325</v>
      </c>
      <c r="B184" s="23">
        <v>2024.0</v>
      </c>
      <c r="C184" s="66">
        <f>IF(Valor_normalizado!C184=0,32,IFERROR(RANK(Valor_normalizado!C184,Valor_normalizado!C$162:C$193,0),"NA"))</f>
        <v>24</v>
      </c>
      <c r="D184" s="66">
        <f>IF(Valor_normalizado!D184=0,32,IFERROR(RANK(Valor_normalizado!D184,Valor_normalizado!D$162:D$193,0),"NA"))</f>
        <v>6</v>
      </c>
      <c r="E184" s="66">
        <f>IF(Valor_normalizado!E184=0,32,IFERROR(RANK(Valor_normalizado!E184,Valor_normalizado!E$162:E$193,0),"NA"))</f>
        <v>31</v>
      </c>
      <c r="F184" s="66">
        <f>IF(Valor_normalizado!F184=0,32,IFERROR(RANK(Valor_normalizado!F184,Valor_normalizado!F$162:F$193,0),"NA"))</f>
        <v>26</v>
      </c>
      <c r="G184" s="66">
        <f>IF(Valor_normalizado!G184=0,32,IFERROR(RANK(Valor_normalizado!G184,Valor_normalizado!G$162:G$193,0),"NA"))</f>
        <v>23</v>
      </c>
      <c r="H184" s="66">
        <f>IF(Valor_normalizado!H184=0,32,IFERROR(RANK(Valor_normalizado!H184,Valor_normalizado!H$162:H$193,0),"NA"))</f>
        <v>23</v>
      </c>
      <c r="I184" s="66">
        <f>IF(Valor_normalizado!I184=0,32,IFERROR(RANK(Valor_normalizado!I184,Valor_normalizado!I$162:I$193,0),"NA"))</f>
        <v>22</v>
      </c>
      <c r="J184" s="66">
        <f>IF(Valor_normalizado!J184=0,32,IFERROR(RANK(Valor_normalizado!J184,Valor_normalizado!J$162:J$193,0),"NA"))</f>
        <v>11</v>
      </c>
      <c r="K184" s="66">
        <f>IF(Valor_normalizado!K184=0,32,IFERROR(RANK(Valor_normalizado!K184,Valor_normalizado!K$162:K$193,0),"NA"))</f>
        <v>17</v>
      </c>
      <c r="L184" s="66">
        <f>IF(Valor_normalizado!L184=0,32,IFERROR(RANK(Valor_normalizado!L184,Valor_normalizado!L$162:L$193,0),"NA"))</f>
        <v>23</v>
      </c>
      <c r="M184" s="66">
        <f>IF(Valor_normalizado!M184=0,32,IFERROR(RANK(Valor_normalizado!M184,Valor_normalizado!M$162:M$193,0),"NA"))</f>
        <v>15</v>
      </c>
      <c r="N184" s="66">
        <f>IF(Valor_normalizado!N184=0,32,IFERROR(RANK(Valor_normalizado!N184,Valor_normalizado!N$162:N$193,0),"NA"))</f>
        <v>32</v>
      </c>
      <c r="O184" s="66">
        <f>IF(Valor_normalizado!O184=0,32,IFERROR(RANK(Valor_normalizado!O184,Valor_normalizado!O$162:O$193,0),"NA"))</f>
        <v>12</v>
      </c>
      <c r="P184" s="66">
        <f>IF(Valor_normalizado!P184=0,32,IFERROR(RANK(Valor_normalizado!P184,Valor_normalizado!P$162:P$193,0),"NA"))</f>
        <v>20</v>
      </c>
      <c r="Q184" s="66">
        <f>IF(Valor_normalizado!Q184=0,32,IFERROR(RANK(Valor_normalizado!Q184,Valor_normalizado!Q$162:Q$193,0),"NA"))</f>
        <v>3</v>
      </c>
      <c r="R184" s="66">
        <f>IF(Valor_normalizado!R184=0,32,IFERROR(RANK(Valor_normalizado!R184,Valor_normalizado!R$162:R$193,0),"NA"))</f>
        <v>17</v>
      </c>
      <c r="S184" s="66">
        <f>IF(Valor_normalizado!S184=0,32,IFERROR(RANK(Valor_normalizado!S184,Valor_normalizado!S$162:S$193,0),"NA"))</f>
        <v>14</v>
      </c>
      <c r="T184" s="66">
        <f>IF(Valor_normalizado!T184=0,32,IFERROR(RANK(Valor_normalizado!T184,Valor_normalizado!T$162:T$193,0),"NA"))</f>
        <v>7</v>
      </c>
      <c r="U184" s="66">
        <f>IF(Valor_normalizado!U184=0,32,IFERROR(RANK(Valor_normalizado!U184,Valor_normalizado!U$162:U$193,0),"NA"))</f>
        <v>19</v>
      </c>
      <c r="V184" s="66">
        <f>IF(Valor_normalizado!V184=0,32,IFERROR(RANK(Valor_normalizado!V184,Valor_normalizado!V$162:V$193,0),"NA"))</f>
        <v>25</v>
      </c>
      <c r="W184" s="66">
        <f>IF(Valor_normalizado!W184=0,32,IFERROR(RANK(Valor_normalizado!W184,Valor_normalizado!W$162:W$193,0),"NA"))</f>
        <v>17</v>
      </c>
      <c r="X184" s="66">
        <f>IF(Valor_normalizado!X184=0,32,IFERROR(RANK(Valor_normalizado!X184,Valor_normalizado!X$162:X$193,0),"NA"))</f>
        <v>15</v>
      </c>
      <c r="Y184" s="66">
        <f>IF(Valor_normalizado!Y184=0,32,IFERROR(RANK(Valor_normalizado!Y184,Valor_normalizado!Y$162:Y$193,0),"NA"))</f>
        <v>24</v>
      </c>
    </row>
    <row r="185" ht="14.25" hidden="1" customHeight="1">
      <c r="A185" s="51" t="s">
        <v>326</v>
      </c>
      <c r="B185" s="23">
        <v>2024.0</v>
      </c>
      <c r="C185" s="66">
        <f>IF(Valor_normalizado!C185=0,32,IFERROR(RANK(Valor_normalizado!C185,Valor_normalizado!C$162:C$193,0),"NA"))</f>
        <v>16</v>
      </c>
      <c r="D185" s="66">
        <f>IF(Valor_normalizado!D185=0,32,IFERROR(RANK(Valor_normalizado!D185,Valor_normalizado!D$162:D$193,0),"NA"))</f>
        <v>4</v>
      </c>
      <c r="E185" s="66">
        <f>IF(Valor_normalizado!E185=0,32,IFERROR(RANK(Valor_normalizado!E185,Valor_normalizado!E$162:E$193,0),"NA"))</f>
        <v>22</v>
      </c>
      <c r="F185" s="66">
        <f>IF(Valor_normalizado!F185=0,32,IFERROR(RANK(Valor_normalizado!F185,Valor_normalizado!F$162:F$193,0),"NA"))</f>
        <v>27</v>
      </c>
      <c r="G185" s="66">
        <f>IF(Valor_normalizado!G185=0,32,IFERROR(RANK(Valor_normalizado!G185,Valor_normalizado!G$162:G$193,0),"NA"))</f>
        <v>16</v>
      </c>
      <c r="H185" s="66">
        <f>IF(Valor_normalizado!H185=0,32,IFERROR(RANK(Valor_normalizado!H185,Valor_normalizado!H$162:H$193,0),"NA"))</f>
        <v>30</v>
      </c>
      <c r="I185" s="66">
        <f>IF(Valor_normalizado!I185=0,32,IFERROR(RANK(Valor_normalizado!I185,Valor_normalizado!I$162:I$193,0),"NA"))</f>
        <v>30</v>
      </c>
      <c r="J185" s="66">
        <f>IF(Valor_normalizado!J185=0,32,IFERROR(RANK(Valor_normalizado!J185,Valor_normalizado!J$162:J$193,0),"NA"))</f>
        <v>30</v>
      </c>
      <c r="K185" s="66">
        <f>IF(Valor_normalizado!K185=0,32,IFERROR(RANK(Valor_normalizado!K185,Valor_normalizado!K$162:K$193,0),"NA"))</f>
        <v>31</v>
      </c>
      <c r="L185" s="66">
        <f>IF(Valor_normalizado!L185=0,32,IFERROR(RANK(Valor_normalizado!L185,Valor_normalizado!L$162:L$193,0),"NA"))</f>
        <v>24</v>
      </c>
      <c r="M185" s="66">
        <f>IF(Valor_normalizado!M185=0,32,IFERROR(RANK(Valor_normalizado!M185,Valor_normalizado!M$162:M$193,0),"NA"))</f>
        <v>22</v>
      </c>
      <c r="N185" s="66">
        <f>IF(Valor_normalizado!N185=0,32,IFERROR(RANK(Valor_normalizado!N185,Valor_normalizado!N$162:N$193,0),"NA"))</f>
        <v>32</v>
      </c>
      <c r="O185" s="66">
        <f>IF(Valor_normalizado!O185=0,32,IFERROR(RANK(Valor_normalizado!O185,Valor_normalizado!O$162:O$193,0),"NA"))</f>
        <v>26</v>
      </c>
      <c r="P185" s="66">
        <f>IF(Valor_normalizado!P185=0,32,IFERROR(RANK(Valor_normalizado!P185,Valor_normalizado!P$162:P$193,0),"NA"))</f>
        <v>32</v>
      </c>
      <c r="Q185" s="66">
        <f>IF(Valor_normalizado!Q185=0,32,IFERROR(RANK(Valor_normalizado!Q185,Valor_normalizado!Q$162:Q$193,0),"NA"))</f>
        <v>32</v>
      </c>
      <c r="R185" s="66">
        <f>IF(Valor_normalizado!R185=0,32,IFERROR(RANK(Valor_normalizado!R185,Valor_normalizado!R$162:R$193,0),"NA"))</f>
        <v>26</v>
      </c>
      <c r="S185" s="66">
        <f>IF(Valor_normalizado!S185=0,32,IFERROR(RANK(Valor_normalizado!S185,Valor_normalizado!S$162:S$193,0),"NA"))</f>
        <v>6</v>
      </c>
      <c r="T185" s="66">
        <f>IF(Valor_normalizado!T185=0,32,IFERROR(RANK(Valor_normalizado!T185,Valor_normalizado!T$162:T$193,0),"NA"))</f>
        <v>32</v>
      </c>
      <c r="U185" s="66">
        <f>IF(Valor_normalizado!U185=0,32,IFERROR(RANK(Valor_normalizado!U185,Valor_normalizado!U$162:U$193,0),"NA"))</f>
        <v>32</v>
      </c>
      <c r="V185" s="66">
        <f>IF(Valor_normalizado!V185=0,32,IFERROR(RANK(Valor_normalizado!V185,Valor_normalizado!V$162:V$193,0),"NA"))</f>
        <v>11</v>
      </c>
      <c r="W185" s="66">
        <f>IF(Valor_normalizado!W185=0,32,IFERROR(RANK(Valor_normalizado!W185,Valor_normalizado!W$162:W$193,0),"NA"))</f>
        <v>18</v>
      </c>
      <c r="X185" s="66">
        <f>IF(Valor_normalizado!X185=0,32,IFERROR(RANK(Valor_normalizado!X185,Valor_normalizado!X$162:X$193,0),"NA"))</f>
        <v>27</v>
      </c>
      <c r="Y185" s="66">
        <f>IF(Valor_normalizado!Y185=0,32,IFERROR(RANK(Valor_normalizado!Y185,Valor_normalizado!Y$162:Y$193,0),"NA"))</f>
        <v>21</v>
      </c>
    </row>
    <row r="186" ht="14.25" hidden="1" customHeight="1">
      <c r="A186" s="49" t="s">
        <v>330</v>
      </c>
      <c r="B186" s="23">
        <v>2024.0</v>
      </c>
      <c r="C186" s="66">
        <f>IF(Valor_normalizado!C186=0,32,IFERROR(RANK(Valor_normalizado!C186,Valor_normalizado!C$162:C$193,0),"NA"))</f>
        <v>29</v>
      </c>
      <c r="D186" s="66">
        <f>IF(Valor_normalizado!D186=0,32,IFERROR(RANK(Valor_normalizado!D186,Valor_normalizado!D$162:D$193,0),"NA"))</f>
        <v>26</v>
      </c>
      <c r="E186" s="66">
        <f>IF(Valor_normalizado!E186=0,32,IFERROR(RANK(Valor_normalizado!E186,Valor_normalizado!E$162:E$193,0),"NA"))</f>
        <v>16</v>
      </c>
      <c r="F186" s="66">
        <f>IF(Valor_normalizado!F186=0,32,IFERROR(RANK(Valor_normalizado!F186,Valor_normalizado!F$162:F$193,0),"NA"))</f>
        <v>15</v>
      </c>
      <c r="G186" s="66">
        <f>IF(Valor_normalizado!G186=0,32,IFERROR(RANK(Valor_normalizado!G186,Valor_normalizado!G$162:G$193,0),"NA"))</f>
        <v>27</v>
      </c>
      <c r="H186" s="66">
        <f>IF(Valor_normalizado!H186=0,32,IFERROR(RANK(Valor_normalizado!H186,Valor_normalizado!H$162:H$193,0),"NA"))</f>
        <v>26</v>
      </c>
      <c r="I186" s="66">
        <f>IF(Valor_normalizado!I186=0,32,IFERROR(RANK(Valor_normalizado!I186,Valor_normalizado!I$162:I$193,0),"NA"))</f>
        <v>26</v>
      </c>
      <c r="J186" s="66">
        <f>IF(Valor_normalizado!J186=0,32,IFERROR(RANK(Valor_normalizado!J186,Valor_normalizado!J$162:J$193,0),"NA"))</f>
        <v>7</v>
      </c>
      <c r="K186" s="66">
        <f>IF(Valor_normalizado!K186=0,32,IFERROR(RANK(Valor_normalizado!K186,Valor_normalizado!K$162:K$193,0),"NA"))</f>
        <v>21</v>
      </c>
      <c r="L186" s="66">
        <f>IF(Valor_normalizado!L186=0,32,IFERROR(RANK(Valor_normalizado!L186,Valor_normalizado!L$162:L$193,0),"NA"))</f>
        <v>25</v>
      </c>
      <c r="M186" s="66">
        <f>IF(Valor_normalizado!M186=0,32,IFERROR(RANK(Valor_normalizado!M186,Valor_normalizado!M$162:M$193,0),"NA"))</f>
        <v>32</v>
      </c>
      <c r="N186" s="66">
        <f>IF(Valor_normalizado!N186=0,32,IFERROR(RANK(Valor_normalizado!N186,Valor_normalizado!N$162:N$193,0),"NA"))</f>
        <v>32</v>
      </c>
      <c r="O186" s="66">
        <f>IF(Valor_normalizado!O186=0,32,IFERROR(RANK(Valor_normalizado!O186,Valor_normalizado!O$162:O$193,0),"NA"))</f>
        <v>28</v>
      </c>
      <c r="P186" s="66">
        <f>IF(Valor_normalizado!P186=0,32,IFERROR(RANK(Valor_normalizado!P186,Valor_normalizado!P$162:P$193,0),"NA"))</f>
        <v>32</v>
      </c>
      <c r="Q186" s="66">
        <f>IF(Valor_normalizado!Q186=0,32,IFERROR(RANK(Valor_normalizado!Q186,Valor_normalizado!Q$162:Q$193,0),"NA"))</f>
        <v>32</v>
      </c>
      <c r="R186" s="66">
        <f>IF(Valor_normalizado!R186=0,32,IFERROR(RANK(Valor_normalizado!R186,Valor_normalizado!R$162:R$193,0),"NA"))</f>
        <v>29</v>
      </c>
      <c r="S186" s="66">
        <f>IF(Valor_normalizado!S186=0,32,IFERROR(RANK(Valor_normalizado!S186,Valor_normalizado!S$162:S$193,0),"NA"))</f>
        <v>32</v>
      </c>
      <c r="T186" s="66">
        <f>IF(Valor_normalizado!T186=0,32,IFERROR(RANK(Valor_normalizado!T186,Valor_normalizado!T$162:T$193,0),"NA"))</f>
        <v>32</v>
      </c>
      <c r="U186" s="66">
        <f>IF(Valor_normalizado!U186=0,32,IFERROR(RANK(Valor_normalizado!U186,Valor_normalizado!U$162:U$193,0),"NA"))</f>
        <v>32</v>
      </c>
      <c r="V186" s="66">
        <f>IF(Valor_normalizado!V186=0,32,IFERROR(RANK(Valor_normalizado!V186,Valor_normalizado!V$162:V$193,0),"NA"))</f>
        <v>29</v>
      </c>
      <c r="W186" s="66">
        <f>IF(Valor_normalizado!W186=0,32,IFERROR(RANK(Valor_normalizado!W186,Valor_normalizado!W$162:W$193,0),"NA"))</f>
        <v>29</v>
      </c>
      <c r="X186" s="66">
        <f>IF(Valor_normalizado!X186=0,32,IFERROR(RANK(Valor_normalizado!X186,Valor_normalizado!X$162:X$193,0),"NA"))</f>
        <v>30</v>
      </c>
      <c r="Y186" s="66">
        <f>IF(Valor_normalizado!Y186=0,32,IFERROR(RANK(Valor_normalizado!Y186,Valor_normalizado!Y$162:Y$193,0),"NA"))</f>
        <v>28</v>
      </c>
    </row>
    <row r="187" ht="14.25" hidden="1" customHeight="1">
      <c r="A187" s="51" t="s">
        <v>332</v>
      </c>
      <c r="B187" s="23">
        <v>2024.0</v>
      </c>
      <c r="C187" s="66">
        <f>IF(Valor_normalizado!C187=0,32,IFERROR(RANK(Valor_normalizado!C187,Valor_normalizado!C$162:C$193,0),"NA"))</f>
        <v>25</v>
      </c>
      <c r="D187" s="66">
        <f>IF(Valor_normalizado!D187=0,32,IFERROR(RANK(Valor_normalizado!D187,Valor_normalizado!D$162:D$193,0),"NA"))</f>
        <v>28</v>
      </c>
      <c r="E187" s="66">
        <f>IF(Valor_normalizado!E187=0,32,IFERROR(RANK(Valor_normalizado!E187,Valor_normalizado!E$162:E$193,0),"NA"))</f>
        <v>26</v>
      </c>
      <c r="F187" s="66">
        <f>IF(Valor_normalizado!F187=0,32,IFERROR(RANK(Valor_normalizado!F187,Valor_normalizado!F$162:F$193,0),"NA"))</f>
        <v>30</v>
      </c>
      <c r="G187" s="66">
        <f>IF(Valor_normalizado!G187=0,32,IFERROR(RANK(Valor_normalizado!G187,Valor_normalizado!G$162:G$193,0),"NA"))</f>
        <v>28</v>
      </c>
      <c r="H187" s="66">
        <f>IF(Valor_normalizado!H187=0,32,IFERROR(RANK(Valor_normalizado!H187,Valor_normalizado!H$162:H$193,0),"NA"))</f>
        <v>18</v>
      </c>
      <c r="I187" s="66">
        <f>IF(Valor_normalizado!I187=0,32,IFERROR(RANK(Valor_normalizado!I187,Valor_normalizado!I$162:I$193,0),"NA"))</f>
        <v>25</v>
      </c>
      <c r="J187" s="66">
        <f>IF(Valor_normalizado!J187=0,32,IFERROR(RANK(Valor_normalizado!J187,Valor_normalizado!J$162:J$193,0),"NA"))</f>
        <v>20</v>
      </c>
      <c r="K187" s="66">
        <f>IF(Valor_normalizado!K187=0,32,IFERROR(RANK(Valor_normalizado!K187,Valor_normalizado!K$162:K$193,0),"NA"))</f>
        <v>24</v>
      </c>
      <c r="L187" s="66">
        <f>IF(Valor_normalizado!L187=0,32,IFERROR(RANK(Valor_normalizado!L187,Valor_normalizado!L$162:L$193,0),"NA"))</f>
        <v>26</v>
      </c>
      <c r="M187" s="66">
        <f>IF(Valor_normalizado!M187=0,32,IFERROR(RANK(Valor_normalizado!M187,Valor_normalizado!M$162:M$193,0),"NA"))</f>
        <v>24</v>
      </c>
      <c r="N187" s="66">
        <f>IF(Valor_normalizado!N187=0,32,IFERROR(RANK(Valor_normalizado!N187,Valor_normalizado!N$162:N$193,0),"NA"))</f>
        <v>32</v>
      </c>
      <c r="O187" s="66">
        <f>IF(Valor_normalizado!O187=0,32,IFERROR(RANK(Valor_normalizado!O187,Valor_normalizado!O$162:O$193,0),"NA"))</f>
        <v>21</v>
      </c>
      <c r="P187" s="66">
        <f>IF(Valor_normalizado!P187=0,32,IFERROR(RANK(Valor_normalizado!P187,Valor_normalizado!P$162:P$193,0),"NA"))</f>
        <v>32</v>
      </c>
      <c r="Q187" s="66">
        <f>IF(Valor_normalizado!Q187=0,32,IFERROR(RANK(Valor_normalizado!Q187,Valor_normalizado!Q$162:Q$193,0),"NA"))</f>
        <v>5</v>
      </c>
      <c r="R187" s="66">
        <f>IF(Valor_normalizado!R187=0,32,IFERROR(RANK(Valor_normalizado!R187,Valor_normalizado!R$162:R$193,0),"NA"))</f>
        <v>23</v>
      </c>
      <c r="S187" s="66">
        <f>IF(Valor_normalizado!S187=0,32,IFERROR(RANK(Valor_normalizado!S187,Valor_normalizado!S$162:S$193,0),"NA"))</f>
        <v>32</v>
      </c>
      <c r="T187" s="66">
        <f>IF(Valor_normalizado!T187=0,32,IFERROR(RANK(Valor_normalizado!T187,Valor_normalizado!T$162:T$193,0),"NA"))</f>
        <v>32</v>
      </c>
      <c r="U187" s="66">
        <f>IF(Valor_normalizado!U187=0,32,IFERROR(RANK(Valor_normalizado!U187,Valor_normalizado!U$162:U$193,0),"NA"))</f>
        <v>17</v>
      </c>
      <c r="V187" s="66">
        <f>IF(Valor_normalizado!V187=0,32,IFERROR(RANK(Valor_normalizado!V187,Valor_normalizado!V$162:V$193,0),"NA"))</f>
        <v>27</v>
      </c>
      <c r="W187" s="66">
        <f>IF(Valor_normalizado!W187=0,32,IFERROR(RANK(Valor_normalizado!W187,Valor_normalizado!W$162:W$193,0),"NA"))</f>
        <v>26</v>
      </c>
      <c r="X187" s="66">
        <f>IF(Valor_normalizado!X187=0,32,IFERROR(RANK(Valor_normalizado!X187,Valor_normalizado!X$162:X$193,0),"NA"))</f>
        <v>26</v>
      </c>
      <c r="Y187" s="66">
        <f>IF(Valor_normalizado!Y187=0,32,IFERROR(RANK(Valor_normalizado!Y187,Valor_normalizado!Y$162:Y$193,0),"NA"))</f>
        <v>25</v>
      </c>
    </row>
    <row r="188" ht="14.25" hidden="1" customHeight="1">
      <c r="A188" s="49" t="s">
        <v>319</v>
      </c>
      <c r="B188" s="23">
        <v>2024.0</v>
      </c>
      <c r="C188" s="66">
        <f>IF(Valor_normalizado!C188=0,32,IFERROR(RANK(Valor_normalizado!C188,Valor_normalizado!C$162:C$193,0),"NA"))</f>
        <v>27</v>
      </c>
      <c r="D188" s="66">
        <f>IF(Valor_normalizado!D188=0,32,IFERROR(RANK(Valor_normalizado!D188,Valor_normalizado!D$162:D$193,0),"NA"))</f>
        <v>25</v>
      </c>
      <c r="E188" s="66">
        <f>IF(Valor_normalizado!E188=0,32,IFERROR(RANK(Valor_normalizado!E188,Valor_normalizado!E$162:E$193,0),"NA"))</f>
        <v>20</v>
      </c>
      <c r="F188" s="66">
        <f>IF(Valor_normalizado!F188=0,32,IFERROR(RANK(Valor_normalizado!F188,Valor_normalizado!F$162:F$193,0),"NA"))</f>
        <v>25</v>
      </c>
      <c r="G188" s="66">
        <f>IF(Valor_normalizado!G188=0,32,IFERROR(RANK(Valor_normalizado!G188,Valor_normalizado!G$162:G$193,0),"NA"))</f>
        <v>25</v>
      </c>
      <c r="H188" s="66">
        <f>IF(Valor_normalizado!H188=0,32,IFERROR(RANK(Valor_normalizado!H188,Valor_normalizado!H$162:H$193,0),"NA"))</f>
        <v>25</v>
      </c>
      <c r="I188" s="66">
        <f>IF(Valor_normalizado!I188=0,32,IFERROR(RANK(Valor_normalizado!I188,Valor_normalizado!I$162:I$193,0),"NA"))</f>
        <v>24</v>
      </c>
      <c r="J188" s="66">
        <f>IF(Valor_normalizado!J188=0,32,IFERROR(RANK(Valor_normalizado!J188,Valor_normalizado!J$162:J$193,0),"NA"))</f>
        <v>29</v>
      </c>
      <c r="K188" s="66">
        <f>IF(Valor_normalizado!K188=0,32,IFERROR(RANK(Valor_normalizado!K188,Valor_normalizado!K$162:K$193,0),"NA"))</f>
        <v>28</v>
      </c>
      <c r="L188" s="66">
        <f>IF(Valor_normalizado!L188=0,32,IFERROR(RANK(Valor_normalizado!L188,Valor_normalizado!L$162:L$193,0),"NA"))</f>
        <v>27</v>
      </c>
      <c r="M188" s="66">
        <f>IF(Valor_normalizado!M188=0,32,IFERROR(RANK(Valor_normalizado!M188,Valor_normalizado!M$162:M$193,0),"NA"))</f>
        <v>32</v>
      </c>
      <c r="N188" s="66">
        <f>IF(Valor_normalizado!N188=0,32,IFERROR(RANK(Valor_normalizado!N188,Valor_normalizado!N$162:N$193,0),"NA"))</f>
        <v>32</v>
      </c>
      <c r="O188" s="66">
        <f>IF(Valor_normalizado!O188=0,32,IFERROR(RANK(Valor_normalizado!O188,Valor_normalizado!O$162:O$193,0),"NA"))</f>
        <v>30</v>
      </c>
      <c r="P188" s="66">
        <f>IF(Valor_normalizado!P188=0,32,IFERROR(RANK(Valor_normalizado!P188,Valor_normalizado!P$162:P$193,0),"NA"))</f>
        <v>8</v>
      </c>
      <c r="Q188" s="66">
        <f>IF(Valor_normalizado!Q188=0,32,IFERROR(RANK(Valor_normalizado!Q188,Valor_normalizado!Q$162:Q$193,0),"NA"))</f>
        <v>32</v>
      </c>
      <c r="R188" s="66">
        <f>IF(Valor_normalizado!R188=0,32,IFERROR(RANK(Valor_normalizado!R188,Valor_normalizado!R$162:R$193,0),"NA"))</f>
        <v>25</v>
      </c>
      <c r="S188" s="66">
        <f>IF(Valor_normalizado!S188=0,32,IFERROR(RANK(Valor_normalizado!S188,Valor_normalizado!S$162:S$193,0),"NA"))</f>
        <v>32</v>
      </c>
      <c r="T188" s="66">
        <f>IF(Valor_normalizado!T188=0,32,IFERROR(RANK(Valor_normalizado!T188,Valor_normalizado!T$162:T$193,0),"NA"))</f>
        <v>32</v>
      </c>
      <c r="U188" s="66">
        <f>IF(Valor_normalizado!U188=0,32,IFERROR(RANK(Valor_normalizado!U188,Valor_normalizado!U$162:U$193,0),"NA"))</f>
        <v>32</v>
      </c>
      <c r="V188" s="66">
        <f>IF(Valor_normalizado!V188=0,32,IFERROR(RANK(Valor_normalizado!V188,Valor_normalizado!V$162:V$193,0),"NA"))</f>
        <v>20</v>
      </c>
      <c r="W188" s="66">
        <f>IF(Valor_normalizado!W188=0,32,IFERROR(RANK(Valor_normalizado!W188,Valor_normalizado!W$162:W$193,0),"NA"))</f>
        <v>28</v>
      </c>
      <c r="X188" s="66">
        <f>IF(Valor_normalizado!X188=0,32,IFERROR(RANK(Valor_normalizado!X188,Valor_normalizado!X$162:X$193,0),"NA"))</f>
        <v>28</v>
      </c>
      <c r="Y188" s="66">
        <f>IF(Valor_normalizado!Y188=0,32,IFERROR(RANK(Valor_normalizado!Y188,Valor_normalizado!Y$162:Y$193,0),"NA"))</f>
        <v>27</v>
      </c>
    </row>
    <row r="189" ht="14.25" hidden="1" customHeight="1">
      <c r="A189" s="51" t="s">
        <v>323</v>
      </c>
      <c r="B189" s="23">
        <v>2024.0</v>
      </c>
      <c r="C189" s="66">
        <f>IF(Valor_normalizado!C189=0,32,IFERROR(RANK(Valor_normalizado!C189,Valor_normalizado!C$162:C$193,0),"NA"))</f>
        <v>30</v>
      </c>
      <c r="D189" s="66">
        <f>IF(Valor_normalizado!D189=0,32,IFERROR(RANK(Valor_normalizado!D189,Valor_normalizado!D$162:D$193,0),"NA"))</f>
        <v>32</v>
      </c>
      <c r="E189" s="66">
        <f>IF(Valor_normalizado!E189=0,32,IFERROR(RANK(Valor_normalizado!E189,Valor_normalizado!E$162:E$193,0),"NA"))</f>
        <v>29</v>
      </c>
      <c r="F189" s="66">
        <f>IF(Valor_normalizado!F189=0,32,IFERROR(RANK(Valor_normalizado!F189,Valor_normalizado!F$162:F$193,0),"NA"))</f>
        <v>28</v>
      </c>
      <c r="G189" s="66">
        <f>IF(Valor_normalizado!G189=0,32,IFERROR(RANK(Valor_normalizado!G189,Valor_normalizado!G$162:G$193,0),"NA"))</f>
        <v>30</v>
      </c>
      <c r="H189" s="66">
        <f>IF(Valor_normalizado!H189=0,32,IFERROR(RANK(Valor_normalizado!H189,Valor_normalizado!H$162:H$193,0),"NA"))</f>
        <v>28</v>
      </c>
      <c r="I189" s="66">
        <f>IF(Valor_normalizado!I189=0,32,IFERROR(RANK(Valor_normalizado!I189,Valor_normalizado!I$162:I$193,0),"NA"))</f>
        <v>28</v>
      </c>
      <c r="J189" s="66">
        <f>IF(Valor_normalizado!J189=0,32,IFERROR(RANK(Valor_normalizado!J189,Valor_normalizado!J$162:J$193,0),"NA"))</f>
        <v>8</v>
      </c>
      <c r="K189" s="66">
        <f>IF(Valor_normalizado!K189=0,32,IFERROR(RANK(Valor_normalizado!K189,Valor_normalizado!K$162:K$193,0),"NA"))</f>
        <v>25</v>
      </c>
      <c r="L189" s="66">
        <f>IF(Valor_normalizado!L189=0,32,IFERROR(RANK(Valor_normalizado!L189,Valor_normalizado!L$162:L$193,0),"NA"))</f>
        <v>28</v>
      </c>
      <c r="M189" s="66">
        <f>IF(Valor_normalizado!M189=0,32,IFERROR(RANK(Valor_normalizado!M189,Valor_normalizado!M$162:M$193,0),"NA"))</f>
        <v>32</v>
      </c>
      <c r="N189" s="66">
        <f>IF(Valor_normalizado!N189=0,32,IFERROR(RANK(Valor_normalizado!N189,Valor_normalizado!N$162:N$193,0),"NA"))</f>
        <v>32</v>
      </c>
      <c r="O189" s="66">
        <f>IF(Valor_normalizado!O189=0,32,IFERROR(RANK(Valor_normalizado!O189,Valor_normalizado!O$162:O$193,0),"NA"))</f>
        <v>32</v>
      </c>
      <c r="P189" s="66">
        <f>IF(Valor_normalizado!P189=0,32,IFERROR(RANK(Valor_normalizado!P189,Valor_normalizado!P$162:P$193,0),"NA"))</f>
        <v>32</v>
      </c>
      <c r="Q189" s="66">
        <f>IF(Valor_normalizado!Q189=0,32,IFERROR(RANK(Valor_normalizado!Q189,Valor_normalizado!Q$162:Q$193,0),"NA"))</f>
        <v>32</v>
      </c>
      <c r="R189" s="66">
        <f>IF(Valor_normalizado!R189=0,32,IFERROR(RANK(Valor_normalizado!R189,Valor_normalizado!R$162:R$193,0),"NA"))</f>
        <v>32</v>
      </c>
      <c r="S189" s="66">
        <f>IF(Valor_normalizado!S189=0,32,IFERROR(RANK(Valor_normalizado!S189,Valor_normalizado!S$162:S$193,0),"NA"))</f>
        <v>32</v>
      </c>
      <c r="T189" s="66">
        <f>IF(Valor_normalizado!T189=0,32,IFERROR(RANK(Valor_normalizado!T189,Valor_normalizado!T$162:T$193,0),"NA"))</f>
        <v>2</v>
      </c>
      <c r="U189" s="66">
        <f>IF(Valor_normalizado!U189=0,32,IFERROR(RANK(Valor_normalizado!U189,Valor_normalizado!U$162:U$193,0),"NA"))</f>
        <v>32</v>
      </c>
      <c r="V189" s="66">
        <f>IF(Valor_normalizado!V189=0,32,IFERROR(RANK(Valor_normalizado!V189,Valor_normalizado!V$162:V$193,0),"NA"))</f>
        <v>26</v>
      </c>
      <c r="W189" s="66">
        <f>IF(Valor_normalizado!W189=0,32,IFERROR(RANK(Valor_normalizado!W189,Valor_normalizado!W$162:W$193,0),"NA"))</f>
        <v>11</v>
      </c>
      <c r="X189" s="66">
        <f>IF(Valor_normalizado!X189=0,32,IFERROR(RANK(Valor_normalizado!X189,Valor_normalizado!X$162:X$193,0),"NA"))</f>
        <v>24</v>
      </c>
      <c r="Y189" s="66">
        <f>IF(Valor_normalizado!Y189=0,32,IFERROR(RANK(Valor_normalizado!Y189,Valor_normalizado!Y$162:Y$193,0),"NA"))</f>
        <v>31</v>
      </c>
    </row>
    <row r="190" ht="14.25" hidden="1" customHeight="1">
      <c r="A190" s="49" t="s">
        <v>308</v>
      </c>
      <c r="B190" s="23">
        <v>2024.0</v>
      </c>
      <c r="C190" s="66">
        <f>IF(Valor_normalizado!C190=0,32,IFERROR(RANK(Valor_normalizado!C190,Valor_normalizado!C$162:C$193,0),"NA"))</f>
        <v>26</v>
      </c>
      <c r="D190" s="66">
        <f>IF(Valor_normalizado!D190=0,32,IFERROR(RANK(Valor_normalizado!D190,Valor_normalizado!D$162:D$193,0),"NA"))</f>
        <v>27</v>
      </c>
      <c r="E190" s="66">
        <f>IF(Valor_normalizado!E190=0,32,IFERROR(RANK(Valor_normalizado!E190,Valor_normalizado!E$162:E$193,0),"NA"))</f>
        <v>30</v>
      </c>
      <c r="F190" s="66">
        <f>IF(Valor_normalizado!F190=0,32,IFERROR(RANK(Valor_normalizado!F190,Valor_normalizado!F$162:F$193,0),"NA"))</f>
        <v>17</v>
      </c>
      <c r="G190" s="66">
        <f>IF(Valor_normalizado!G190=0,32,IFERROR(RANK(Valor_normalizado!G190,Valor_normalizado!G$162:G$193,0),"NA"))</f>
        <v>26</v>
      </c>
      <c r="H190" s="66">
        <f>IF(Valor_normalizado!H190=0,32,IFERROR(RANK(Valor_normalizado!H190,Valor_normalizado!H$162:H$193,0),"NA"))</f>
        <v>31</v>
      </c>
      <c r="I190" s="66">
        <f>IF(Valor_normalizado!I190=0,32,IFERROR(RANK(Valor_normalizado!I190,Valor_normalizado!I$162:I$193,0),"NA"))</f>
        <v>27</v>
      </c>
      <c r="J190" s="66">
        <f>IF(Valor_normalizado!J190=0,32,IFERROR(RANK(Valor_normalizado!J190,Valor_normalizado!J$162:J$193,0),"NA"))</f>
        <v>31</v>
      </c>
      <c r="K190" s="66">
        <f>IF(Valor_normalizado!K190=0,32,IFERROR(RANK(Valor_normalizado!K190,Valor_normalizado!K$162:K$193,0),"NA"))</f>
        <v>30</v>
      </c>
      <c r="L190" s="66">
        <f>IF(Valor_normalizado!L190=0,32,IFERROR(RANK(Valor_normalizado!L190,Valor_normalizado!L$162:L$193,0),"NA"))</f>
        <v>29</v>
      </c>
      <c r="M190" s="66">
        <f>IF(Valor_normalizado!M190=0,32,IFERROR(RANK(Valor_normalizado!M190,Valor_normalizado!M$162:M$193,0),"NA"))</f>
        <v>32</v>
      </c>
      <c r="N190" s="66">
        <f>IF(Valor_normalizado!N190=0,32,IFERROR(RANK(Valor_normalizado!N190,Valor_normalizado!N$162:N$193,0),"NA"))</f>
        <v>32</v>
      </c>
      <c r="O190" s="66">
        <f>IF(Valor_normalizado!O190=0,32,IFERROR(RANK(Valor_normalizado!O190,Valor_normalizado!O$162:O$193,0),"NA"))</f>
        <v>27</v>
      </c>
      <c r="P190" s="66">
        <f>IF(Valor_normalizado!P190=0,32,IFERROR(RANK(Valor_normalizado!P190,Valor_normalizado!P$162:P$193,0),"NA"))</f>
        <v>32</v>
      </c>
      <c r="Q190" s="66">
        <f>IF(Valor_normalizado!Q190=0,32,IFERROR(RANK(Valor_normalizado!Q190,Valor_normalizado!Q$162:Q$193,0),"NA"))</f>
        <v>32</v>
      </c>
      <c r="R190" s="66">
        <f>IF(Valor_normalizado!R190=0,32,IFERROR(RANK(Valor_normalizado!R190,Valor_normalizado!R$162:R$193,0),"NA"))</f>
        <v>28</v>
      </c>
      <c r="S190" s="66">
        <f>IF(Valor_normalizado!S190=0,32,IFERROR(RANK(Valor_normalizado!S190,Valor_normalizado!S$162:S$193,0),"NA"))</f>
        <v>12</v>
      </c>
      <c r="T190" s="66">
        <f>IF(Valor_normalizado!T190=0,32,IFERROR(RANK(Valor_normalizado!T190,Valor_normalizado!T$162:T$193,0),"NA"))</f>
        <v>32</v>
      </c>
      <c r="U190" s="66">
        <f>IF(Valor_normalizado!U190=0,32,IFERROR(RANK(Valor_normalizado!U190,Valor_normalizado!U$162:U$193,0),"NA"))</f>
        <v>32</v>
      </c>
      <c r="V190" s="66">
        <f>IF(Valor_normalizado!V190=0,32,IFERROR(RANK(Valor_normalizado!V190,Valor_normalizado!V$162:V$193,0),"NA"))</f>
        <v>24</v>
      </c>
      <c r="W190" s="66">
        <f>IF(Valor_normalizado!W190=0,32,IFERROR(RANK(Valor_normalizado!W190,Valor_normalizado!W$162:W$193,0),"NA"))</f>
        <v>23</v>
      </c>
      <c r="X190" s="66">
        <f>IF(Valor_normalizado!X190=0,32,IFERROR(RANK(Valor_normalizado!X190,Valor_normalizado!X$162:X$193,0),"NA"))</f>
        <v>29</v>
      </c>
      <c r="Y190" s="66">
        <f>IF(Valor_normalizado!Y190=0,32,IFERROR(RANK(Valor_normalizado!Y190,Valor_normalizado!Y$162:Y$193,0),"NA"))</f>
        <v>26</v>
      </c>
    </row>
    <row r="191" ht="14.25" hidden="1" customHeight="1">
      <c r="A191" s="51" t="s">
        <v>321</v>
      </c>
      <c r="B191" s="23">
        <v>2024.0</v>
      </c>
      <c r="C191" s="66">
        <f>IF(Valor_normalizado!C191=0,32,IFERROR(RANK(Valor_normalizado!C191,Valor_normalizado!C$162:C$193,0),"NA"))</f>
        <v>28</v>
      </c>
      <c r="D191" s="66">
        <f>IF(Valor_normalizado!D191=0,32,IFERROR(RANK(Valor_normalizado!D191,Valor_normalizado!D$162:D$193,0),"NA"))</f>
        <v>30</v>
      </c>
      <c r="E191" s="66">
        <f>IF(Valor_normalizado!E191=0,32,IFERROR(RANK(Valor_normalizado!E191,Valor_normalizado!E$162:E$193,0),"NA"))</f>
        <v>32</v>
      </c>
      <c r="F191" s="66">
        <f>IF(Valor_normalizado!F191=0,32,IFERROR(RANK(Valor_normalizado!F191,Valor_normalizado!F$162:F$193,0),"NA"))</f>
        <v>31</v>
      </c>
      <c r="G191" s="66">
        <f>IF(Valor_normalizado!G191=0,32,IFERROR(RANK(Valor_normalizado!G191,Valor_normalizado!G$162:G$193,0),"NA"))</f>
        <v>32</v>
      </c>
      <c r="H191" s="66">
        <f>IF(Valor_normalizado!H191=0,32,IFERROR(RANK(Valor_normalizado!H191,Valor_normalizado!H$162:H$193,0),"NA"))</f>
        <v>27</v>
      </c>
      <c r="I191" s="66">
        <f>IF(Valor_normalizado!I191=0,32,IFERROR(RANK(Valor_normalizado!I191,Valor_normalizado!I$162:I$193,0),"NA"))</f>
        <v>29</v>
      </c>
      <c r="J191" s="66">
        <f>IF(Valor_normalizado!J191=0,32,IFERROR(RANK(Valor_normalizado!J191,Valor_normalizado!J$162:J$193,0),"NA"))</f>
        <v>18</v>
      </c>
      <c r="K191" s="66">
        <f>IF(Valor_normalizado!K191=0,32,IFERROR(RANK(Valor_normalizado!K191,Valor_normalizado!K$162:K$193,0),"NA"))</f>
        <v>27</v>
      </c>
      <c r="L191" s="66">
        <f>IF(Valor_normalizado!L191=0,32,IFERROR(RANK(Valor_normalizado!L191,Valor_normalizado!L$162:L$193,0),"NA"))</f>
        <v>30</v>
      </c>
      <c r="M191" s="66">
        <f>IF(Valor_normalizado!M191=0,32,IFERROR(RANK(Valor_normalizado!M191,Valor_normalizado!M$162:M$193,0),"NA"))</f>
        <v>32</v>
      </c>
      <c r="N191" s="66">
        <f>IF(Valor_normalizado!N191=0,32,IFERROR(RANK(Valor_normalizado!N191,Valor_normalizado!N$162:N$193,0),"NA"))</f>
        <v>32</v>
      </c>
      <c r="O191" s="66">
        <f>IF(Valor_normalizado!O191=0,32,IFERROR(RANK(Valor_normalizado!O191,Valor_normalizado!O$162:O$193,0),"NA"))</f>
        <v>32</v>
      </c>
      <c r="P191" s="66">
        <f>IF(Valor_normalizado!P191=0,32,IFERROR(RANK(Valor_normalizado!P191,Valor_normalizado!P$162:P$193,0),"NA"))</f>
        <v>32</v>
      </c>
      <c r="Q191" s="66">
        <f>IF(Valor_normalizado!Q191=0,32,IFERROR(RANK(Valor_normalizado!Q191,Valor_normalizado!Q$162:Q$193,0),"NA"))</f>
        <v>32</v>
      </c>
      <c r="R191" s="66">
        <f>IF(Valor_normalizado!R191=0,32,IFERROR(RANK(Valor_normalizado!R191,Valor_normalizado!R$162:R$193,0),"NA"))</f>
        <v>32</v>
      </c>
      <c r="S191" s="66">
        <f>IF(Valor_normalizado!S191=0,32,IFERROR(RANK(Valor_normalizado!S191,Valor_normalizado!S$162:S$193,0),"NA"))</f>
        <v>32</v>
      </c>
      <c r="T191" s="66">
        <f>IF(Valor_normalizado!T191=0,32,IFERROR(RANK(Valor_normalizado!T191,Valor_normalizado!T$162:T$193,0),"NA"))</f>
        <v>32</v>
      </c>
      <c r="U191" s="66">
        <f>IF(Valor_normalizado!U191=0,32,IFERROR(RANK(Valor_normalizado!U191,Valor_normalizado!U$162:U$193,0),"NA"))</f>
        <v>32</v>
      </c>
      <c r="V191" s="66">
        <f>IF(Valor_normalizado!V191=0,32,IFERROR(RANK(Valor_normalizado!V191,Valor_normalizado!V$162:V$193,0),"NA"))</f>
        <v>30</v>
      </c>
      <c r="W191" s="66">
        <f>IF(Valor_normalizado!W191=0,32,IFERROR(RANK(Valor_normalizado!W191,Valor_normalizado!W$162:W$193,0),"NA"))</f>
        <v>30</v>
      </c>
      <c r="X191" s="66">
        <f>IF(Valor_normalizado!X191=0,32,IFERROR(RANK(Valor_normalizado!X191,Valor_normalizado!X$162:X$193,0),"NA"))</f>
        <v>31</v>
      </c>
      <c r="Y191" s="66">
        <f>IF(Valor_normalizado!Y191=0,32,IFERROR(RANK(Valor_normalizado!Y191,Valor_normalizado!Y$162:Y$193,0),"NA"))</f>
        <v>30</v>
      </c>
    </row>
    <row r="192" ht="14.25" hidden="1" customHeight="1">
      <c r="A192" s="49" t="s">
        <v>317</v>
      </c>
      <c r="B192" s="23">
        <v>2024.0</v>
      </c>
      <c r="C192" s="66">
        <f>IF(Valor_normalizado!C192=0,32,IFERROR(RANK(Valor_normalizado!C192,Valor_normalizado!C$162:C$193,0),"NA"))</f>
        <v>32</v>
      </c>
      <c r="D192" s="66">
        <f>IF(Valor_normalizado!D192=0,32,IFERROR(RANK(Valor_normalizado!D192,Valor_normalizado!D$162:D$193,0),"NA"))</f>
        <v>29</v>
      </c>
      <c r="E192" s="66">
        <f>IF(Valor_normalizado!E192=0,32,IFERROR(RANK(Valor_normalizado!E192,Valor_normalizado!E$162:E$193,0),"NA"))</f>
        <v>17</v>
      </c>
      <c r="F192" s="66">
        <f>IF(Valor_normalizado!F192=0,32,IFERROR(RANK(Valor_normalizado!F192,Valor_normalizado!F$162:F$193,0),"NA"))</f>
        <v>29</v>
      </c>
      <c r="G192" s="66">
        <f>IF(Valor_normalizado!G192=0,32,IFERROR(RANK(Valor_normalizado!G192,Valor_normalizado!G$162:G$193,0),"NA"))</f>
        <v>29</v>
      </c>
      <c r="H192" s="66">
        <f>IF(Valor_normalizado!H192=0,32,IFERROR(RANK(Valor_normalizado!H192,Valor_normalizado!H$162:H$193,0),"NA"))</f>
        <v>32</v>
      </c>
      <c r="I192" s="66">
        <f>IF(Valor_normalizado!I192=0,32,IFERROR(RANK(Valor_normalizado!I192,Valor_normalizado!I$162:I$193,0),"NA"))</f>
        <v>32</v>
      </c>
      <c r="J192" s="66">
        <f>IF(Valor_normalizado!J192=0,32,IFERROR(RANK(Valor_normalizado!J192,Valor_normalizado!J$162:J$193,0),"NA"))</f>
        <v>32</v>
      </c>
      <c r="K192" s="66">
        <f>IF(Valor_normalizado!K192=0,32,IFERROR(RANK(Valor_normalizado!K192,Valor_normalizado!K$162:K$193,0),"NA"))</f>
        <v>32</v>
      </c>
      <c r="L192" s="66">
        <f>IF(Valor_normalizado!L192=0,32,IFERROR(RANK(Valor_normalizado!L192,Valor_normalizado!L$162:L$193,0),"NA"))</f>
        <v>31</v>
      </c>
      <c r="M192" s="66">
        <f>IF(Valor_normalizado!M192=0,32,IFERROR(RANK(Valor_normalizado!M192,Valor_normalizado!M$162:M$193,0),"NA"))</f>
        <v>32</v>
      </c>
      <c r="N192" s="66">
        <f>IF(Valor_normalizado!N192=0,32,IFERROR(RANK(Valor_normalizado!N192,Valor_normalizado!N$162:N$193,0),"NA"))</f>
        <v>32</v>
      </c>
      <c r="O192" s="66">
        <f>IF(Valor_normalizado!O192=0,32,IFERROR(RANK(Valor_normalizado!O192,Valor_normalizado!O$162:O$193,0),"NA"))</f>
        <v>29</v>
      </c>
      <c r="P192" s="66">
        <f>IF(Valor_normalizado!P192=0,32,IFERROR(RANK(Valor_normalizado!P192,Valor_normalizado!P$162:P$193,0),"NA"))</f>
        <v>32</v>
      </c>
      <c r="Q192" s="66">
        <f>IF(Valor_normalizado!Q192=0,32,IFERROR(RANK(Valor_normalizado!Q192,Valor_normalizado!Q$162:Q$193,0),"NA"))</f>
        <v>32</v>
      </c>
      <c r="R192" s="66">
        <f>IF(Valor_normalizado!R192=0,32,IFERROR(RANK(Valor_normalizado!R192,Valor_normalizado!R$162:R$193,0),"NA"))</f>
        <v>30</v>
      </c>
      <c r="S192" s="66">
        <f>IF(Valor_normalizado!S192=0,32,IFERROR(RANK(Valor_normalizado!S192,Valor_normalizado!S$162:S$193,0),"NA"))</f>
        <v>32</v>
      </c>
      <c r="T192" s="66">
        <f>IF(Valor_normalizado!T192=0,32,IFERROR(RANK(Valor_normalizado!T192,Valor_normalizado!T$162:T$193,0),"NA"))</f>
        <v>32</v>
      </c>
      <c r="U192" s="66">
        <f>IF(Valor_normalizado!U192=0,32,IFERROR(RANK(Valor_normalizado!U192,Valor_normalizado!U$162:U$193,0),"NA"))</f>
        <v>32</v>
      </c>
      <c r="V192" s="66">
        <f>IF(Valor_normalizado!V192=0,32,IFERROR(RANK(Valor_normalizado!V192,Valor_normalizado!V$162:V$193,0),"NA"))</f>
        <v>32</v>
      </c>
      <c r="W192" s="66">
        <f>IF(Valor_normalizado!W192=0,32,IFERROR(RANK(Valor_normalizado!W192,Valor_normalizado!W$162:W$193,0),"NA"))</f>
        <v>32</v>
      </c>
      <c r="X192" s="66">
        <f>IF(Valor_normalizado!X192=0,32,IFERROR(RANK(Valor_normalizado!X192,Valor_normalizado!X$162:X$193,0),"NA"))</f>
        <v>32</v>
      </c>
      <c r="Y192" s="66">
        <f>IF(Valor_normalizado!Y192=0,32,IFERROR(RANK(Valor_normalizado!Y192,Valor_normalizado!Y$162:Y$193,0),"NA"))</f>
        <v>32</v>
      </c>
    </row>
    <row r="193" ht="14.25" hidden="1" customHeight="1">
      <c r="A193" s="51" t="s">
        <v>322</v>
      </c>
      <c r="B193" s="23">
        <v>2024.0</v>
      </c>
      <c r="C193" s="66">
        <f>IF(Valor_normalizado!C193=0,32,IFERROR(RANK(Valor_normalizado!C193,Valor_normalizado!C$162:C$193,0),"NA"))</f>
        <v>30</v>
      </c>
      <c r="D193" s="66">
        <f>IF(Valor_normalizado!D193=0,32,IFERROR(RANK(Valor_normalizado!D193,Valor_normalizado!D$162:D$193,0),"NA"))</f>
        <v>31</v>
      </c>
      <c r="E193" s="66">
        <f>IF(Valor_normalizado!E193=0,32,IFERROR(RANK(Valor_normalizado!E193,Valor_normalizado!E$162:E$193,0),"NA"))</f>
        <v>28</v>
      </c>
      <c r="F193" s="66">
        <f>IF(Valor_normalizado!F193=0,32,IFERROR(RANK(Valor_normalizado!F193,Valor_normalizado!F$162:F$193,0),"NA"))</f>
        <v>32</v>
      </c>
      <c r="G193" s="66">
        <f>IF(Valor_normalizado!G193=0,32,IFERROR(RANK(Valor_normalizado!G193,Valor_normalizado!G$162:G$193,0),"NA"))</f>
        <v>31</v>
      </c>
      <c r="H193" s="66">
        <f>IF(Valor_normalizado!H193=0,32,IFERROR(RANK(Valor_normalizado!H193,Valor_normalizado!H$162:H$193,0),"NA"))</f>
        <v>29</v>
      </c>
      <c r="I193" s="66">
        <f>IF(Valor_normalizado!I193=0,32,IFERROR(RANK(Valor_normalizado!I193,Valor_normalizado!I$162:I$193,0),"NA"))</f>
        <v>31</v>
      </c>
      <c r="J193" s="66">
        <f>IF(Valor_normalizado!J193=0,32,IFERROR(RANK(Valor_normalizado!J193,Valor_normalizado!J$162:J$193,0),"NA"))</f>
        <v>27</v>
      </c>
      <c r="K193" s="66">
        <f>IF(Valor_normalizado!K193=0,32,IFERROR(RANK(Valor_normalizado!K193,Valor_normalizado!K$162:K$193,0),"NA"))</f>
        <v>29</v>
      </c>
      <c r="L193" s="66">
        <f>IF(Valor_normalizado!L193=0,32,IFERROR(RANK(Valor_normalizado!L193,Valor_normalizado!L$162:L$193,0),"NA"))</f>
        <v>32</v>
      </c>
      <c r="M193" s="66">
        <f>IF(Valor_normalizado!M193=0,32,IFERROR(RANK(Valor_normalizado!M193,Valor_normalizado!M$162:M$193,0),"NA"))</f>
        <v>7</v>
      </c>
      <c r="N193" s="66">
        <f>IF(Valor_normalizado!N193=0,32,IFERROR(RANK(Valor_normalizado!N193,Valor_normalizado!N$162:N$193,0),"NA"))</f>
        <v>32</v>
      </c>
      <c r="O193" s="66">
        <f>IF(Valor_normalizado!O193=0,32,IFERROR(RANK(Valor_normalizado!O193,Valor_normalizado!O$162:O$193,0),"NA"))</f>
        <v>19</v>
      </c>
      <c r="P193" s="66">
        <f>IF(Valor_normalizado!P193=0,32,IFERROR(RANK(Valor_normalizado!P193,Valor_normalizado!P$162:P$193,0),"NA"))</f>
        <v>9</v>
      </c>
      <c r="Q193" s="66">
        <f>IF(Valor_normalizado!Q193=0,32,IFERROR(RANK(Valor_normalizado!Q193,Valor_normalizado!Q$162:Q$193,0),"NA"))</f>
        <v>1</v>
      </c>
      <c r="R193" s="66">
        <f>IF(Valor_normalizado!R193=0,32,IFERROR(RANK(Valor_normalizado!R193,Valor_normalizado!R$162:R$193,0),"NA"))</f>
        <v>7</v>
      </c>
      <c r="S193" s="66">
        <f>IF(Valor_normalizado!S193=0,32,IFERROR(RANK(Valor_normalizado!S193,Valor_normalizado!S$162:S$193,0),"NA"))</f>
        <v>32</v>
      </c>
      <c r="T193" s="66">
        <f>IF(Valor_normalizado!T193=0,32,IFERROR(RANK(Valor_normalizado!T193,Valor_normalizado!T$162:T$193,0),"NA"))</f>
        <v>32</v>
      </c>
      <c r="U193" s="66">
        <f>IF(Valor_normalizado!U193=0,32,IFERROR(RANK(Valor_normalizado!U193,Valor_normalizado!U$162:U$193,0),"NA"))</f>
        <v>32</v>
      </c>
      <c r="V193" s="66">
        <f>IF(Valor_normalizado!V193=0,32,IFERROR(RANK(Valor_normalizado!V193,Valor_normalizado!V$162:V$193,0),"NA"))</f>
        <v>31</v>
      </c>
      <c r="W193" s="66">
        <f>IF(Valor_normalizado!W193=0,32,IFERROR(RANK(Valor_normalizado!W193,Valor_normalizado!W$162:W$193,0),"NA"))</f>
        <v>31</v>
      </c>
      <c r="X193" s="66">
        <f>IF(Valor_normalizado!X193=0,32,IFERROR(RANK(Valor_normalizado!X193,Valor_normalizado!X$162:X$193,0),"NA"))</f>
        <v>16</v>
      </c>
      <c r="Y193" s="66">
        <f>IF(Valor_normalizado!Y193=0,32,IFERROR(RANK(Valor_normalizado!Y193,Valor_normalizado!Y$162:Y$193,0),"NA"))</f>
        <v>29</v>
      </c>
    </row>
  </sheetData>
  <autoFilter ref="$A$1:$Y$193">
    <filterColumn colId="1">
      <filters>
        <filter val="2020"/>
      </filters>
    </filterColumn>
  </autoFilter>
  <conditionalFormatting sqref="C2:Y193">
    <cfRule type="cellIs" dxfId="0" priority="1" operator="equal">
      <formula>"n/a"</formula>
    </cfRule>
  </conditionalFormatting>
  <conditionalFormatting sqref="C2:Y193">
    <cfRule type="cellIs" dxfId="2" priority="2" operator="equal">
      <formula>1</formula>
    </cfRule>
  </conditionalFormatting>
  <conditionalFormatting sqref="C2:Y193">
    <cfRule type="cellIs" dxfId="1" priority="3" operator="equal">
      <formula>32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1.57"/>
    <col customWidth="1" min="3" max="3" width="35.57"/>
    <col customWidth="1" min="4" max="4" width="20.57"/>
    <col customWidth="1" min="5" max="5" width="21.29"/>
    <col customWidth="1" min="6" max="7" width="11.43"/>
    <col customWidth="1" min="8" max="8" width="21.71"/>
    <col customWidth="1" min="9" max="11" width="10.71"/>
    <col customWidth="1" min="12" max="12" width="24.43"/>
    <col customWidth="1" min="13" max="13" width="24.86"/>
    <col customWidth="1" min="14" max="25" width="10.71"/>
  </cols>
  <sheetData>
    <row r="1">
      <c r="A1" s="16" t="s">
        <v>339</v>
      </c>
      <c r="B1" s="16" t="s">
        <v>340</v>
      </c>
      <c r="C1" s="16" t="s">
        <v>341</v>
      </c>
      <c r="D1" s="67" t="s">
        <v>301</v>
      </c>
      <c r="E1" s="67">
        <v>2019.0</v>
      </c>
      <c r="F1" s="70">
        <v>2020.0</v>
      </c>
      <c r="G1" s="70">
        <v>2021.0</v>
      </c>
      <c r="H1" s="70">
        <v>2022.0</v>
      </c>
    </row>
    <row r="2">
      <c r="A2" s="82">
        <v>1.0</v>
      </c>
      <c r="B2" s="82">
        <v>0.0</v>
      </c>
      <c r="C2" s="16" t="s">
        <v>342</v>
      </c>
      <c r="D2" s="67" t="s">
        <v>305</v>
      </c>
      <c r="E2" s="72">
        <v>5.750514181069364</v>
      </c>
      <c r="F2" s="72">
        <v>5.962753907176954</v>
      </c>
      <c r="G2" s="72">
        <v>5.66194199981505</v>
      </c>
      <c r="H2" s="72">
        <v>5.795771090189749</v>
      </c>
      <c r="K2" s="16"/>
      <c r="L2" s="16"/>
      <c r="M2" s="16"/>
      <c r="N2" s="16"/>
    </row>
    <row r="3">
      <c r="A3" s="82">
        <v>2.0</v>
      </c>
      <c r="B3" s="82">
        <v>0.0</v>
      </c>
      <c r="C3" s="16" t="s">
        <v>342</v>
      </c>
      <c r="D3" s="75" t="s">
        <v>307</v>
      </c>
      <c r="E3" s="76">
        <v>5.048198263996529</v>
      </c>
      <c r="F3" s="76">
        <v>5.602191721435929</v>
      </c>
      <c r="G3" s="76">
        <v>5.387946478016929</v>
      </c>
      <c r="H3" s="76">
        <v>5.2502313953656135</v>
      </c>
      <c r="L3" s="16"/>
      <c r="N3" s="16"/>
    </row>
    <row r="4">
      <c r="A4" s="82">
        <v>5.0</v>
      </c>
      <c r="B4" s="82">
        <v>0.0</v>
      </c>
      <c r="C4" s="16" t="s">
        <v>342</v>
      </c>
      <c r="D4" s="75" t="s">
        <v>311</v>
      </c>
      <c r="E4" s="76">
        <v>3.51219444005898</v>
      </c>
      <c r="F4" s="76">
        <v>3.815723581170945</v>
      </c>
      <c r="G4" s="76">
        <v>3.6605372879612377</v>
      </c>
      <c r="H4" s="76">
        <v>3.5978346986708143</v>
      </c>
      <c r="K4" s="16" t="s">
        <v>343</v>
      </c>
      <c r="N4" s="16"/>
    </row>
    <row r="5">
      <c r="A5" s="82">
        <v>6.0</v>
      </c>
      <c r="B5" s="82">
        <v>0.0</v>
      </c>
      <c r="C5" s="16" t="s">
        <v>342</v>
      </c>
      <c r="D5" s="75" t="s">
        <v>310</v>
      </c>
      <c r="E5" s="76">
        <v>3.1460224335131803</v>
      </c>
      <c r="F5" s="76">
        <v>3.5144939065836347</v>
      </c>
      <c r="G5" s="76">
        <v>3.8438224305943303</v>
      </c>
      <c r="H5" s="76">
        <v>4.605215049062026</v>
      </c>
      <c r="K5" s="16" t="s">
        <v>344</v>
      </c>
      <c r="L5" s="16"/>
      <c r="N5" s="16"/>
    </row>
    <row r="6">
      <c r="A6" s="82">
        <v>9.0</v>
      </c>
      <c r="B6" s="82">
        <v>0.0</v>
      </c>
      <c r="C6" s="16" t="s">
        <v>342</v>
      </c>
      <c r="D6" s="75" t="s">
        <v>320</v>
      </c>
      <c r="E6" s="76">
        <v>2.757620818978867</v>
      </c>
      <c r="F6" s="76">
        <v>3.404226387003575</v>
      </c>
      <c r="G6" s="76">
        <v>3.277432433625086</v>
      </c>
      <c r="H6" s="76">
        <v>3.5672448783096145</v>
      </c>
      <c r="K6" s="16" t="s">
        <v>345</v>
      </c>
      <c r="L6" s="16"/>
      <c r="N6" s="16"/>
    </row>
    <row r="7">
      <c r="A7" s="82">
        <v>18.0</v>
      </c>
      <c r="B7" s="82">
        <v>0.0</v>
      </c>
      <c r="C7" s="16" t="s">
        <v>342</v>
      </c>
      <c r="D7" s="75" t="s">
        <v>318</v>
      </c>
      <c r="E7" s="76">
        <v>1.4723289787555194</v>
      </c>
      <c r="F7" s="76">
        <v>1.5274334105802607</v>
      </c>
      <c r="G7" s="76">
        <v>1.7550460948717272</v>
      </c>
      <c r="H7" s="76">
        <v>2.02037761822147</v>
      </c>
      <c r="K7" s="16" t="s">
        <v>346</v>
      </c>
      <c r="N7" s="16"/>
    </row>
    <row r="8">
      <c r="A8" s="82">
        <v>3.0</v>
      </c>
      <c r="B8" s="82">
        <v>1.0</v>
      </c>
      <c r="C8" s="16" t="s">
        <v>347</v>
      </c>
      <c r="D8" s="75" t="s">
        <v>315</v>
      </c>
      <c r="E8" s="76">
        <v>4.41449158533423</v>
      </c>
      <c r="F8" s="76">
        <v>5.352385158021499</v>
      </c>
      <c r="G8" s="76">
        <v>6.177765828358151</v>
      </c>
      <c r="H8" s="76">
        <v>5.9558071337567</v>
      </c>
      <c r="K8" s="16" t="s">
        <v>348</v>
      </c>
    </row>
    <row r="9">
      <c r="A9" s="82">
        <v>4.0</v>
      </c>
      <c r="B9" s="82">
        <v>1.0</v>
      </c>
      <c r="C9" s="16" t="s">
        <v>347</v>
      </c>
      <c r="D9" s="75" t="s">
        <v>308</v>
      </c>
      <c r="E9" s="76">
        <v>4.236893690947649</v>
      </c>
      <c r="F9" s="76">
        <v>4.755068558886707</v>
      </c>
      <c r="G9" s="76">
        <v>5.2393764915317504</v>
      </c>
      <c r="H9" s="76">
        <v>5.078004447370523</v>
      </c>
    </row>
    <row r="10">
      <c r="A10" s="82">
        <v>7.0</v>
      </c>
      <c r="B10" s="82">
        <v>1.0</v>
      </c>
      <c r="C10" s="16" t="s">
        <v>347</v>
      </c>
      <c r="D10" s="75" t="s">
        <v>309</v>
      </c>
      <c r="E10" s="76">
        <v>3.1457078823405387</v>
      </c>
      <c r="F10" s="76">
        <v>4.114731311829384</v>
      </c>
      <c r="G10" s="76">
        <v>3.661030193934897</v>
      </c>
      <c r="H10" s="76">
        <v>4.221825475893684</v>
      </c>
    </row>
    <row r="11">
      <c r="A11" s="82">
        <v>8.0</v>
      </c>
      <c r="B11" s="82">
        <v>1.0</v>
      </c>
      <c r="C11" s="16" t="s">
        <v>347</v>
      </c>
      <c r="D11" s="75" t="s">
        <v>306</v>
      </c>
      <c r="E11" s="76">
        <v>3.0740240844217324</v>
      </c>
      <c r="F11" s="76">
        <v>3.817475397691833</v>
      </c>
      <c r="G11" s="76">
        <v>4.074378801831669</v>
      </c>
      <c r="H11" s="76">
        <v>3.9874121124902127</v>
      </c>
      <c r="K11" s="83" t="s">
        <v>349</v>
      </c>
      <c r="L11" s="84"/>
    </row>
    <row r="12">
      <c r="A12" s="82">
        <v>10.0</v>
      </c>
      <c r="B12" s="82">
        <v>1.0</v>
      </c>
      <c r="C12" s="16" t="s">
        <v>347</v>
      </c>
      <c r="D12" s="75" t="s">
        <v>316</v>
      </c>
      <c r="E12" s="76">
        <v>2.456502353249933</v>
      </c>
      <c r="F12" s="76">
        <v>3.3142518468838666</v>
      </c>
      <c r="G12" s="76">
        <v>3.0340601342393168</v>
      </c>
      <c r="H12" s="76">
        <v>3.74857822603882</v>
      </c>
      <c r="K12" s="82">
        <f t="shared" ref="K12:K16" si="1">+RANDBETWEEN(1,32)</f>
        <v>19</v>
      </c>
      <c r="L12" s="82" t="str">
        <f t="shared" ref="L12:L16" si="2">+VLOOKUP(K12,$A$1:$H$33,4,FALSE)</f>
        <v>Valledupar</v>
      </c>
    </row>
    <row r="13">
      <c r="A13" s="82">
        <v>12.0</v>
      </c>
      <c r="B13" s="82">
        <v>1.0</v>
      </c>
      <c r="C13" s="16" t="s">
        <v>347</v>
      </c>
      <c r="D13" s="75" t="s">
        <v>313</v>
      </c>
      <c r="E13" s="76">
        <v>2.2156719442276307</v>
      </c>
      <c r="F13" s="76">
        <v>2.6554751071155227</v>
      </c>
      <c r="G13" s="76">
        <v>3.3327188487603774</v>
      </c>
      <c r="H13" s="76">
        <v>3.351088921041754</v>
      </c>
      <c r="K13" s="82">
        <f t="shared" si="1"/>
        <v>31</v>
      </c>
      <c r="L13" s="82" t="str">
        <f t="shared" si="2"/>
        <v>Inírida</v>
      </c>
    </row>
    <row r="14">
      <c r="A14" s="82">
        <v>13.0</v>
      </c>
      <c r="B14" s="82">
        <v>1.0</v>
      </c>
      <c r="C14" s="16" t="s">
        <v>347</v>
      </c>
      <c r="D14" s="75" t="s">
        <v>319</v>
      </c>
      <c r="E14" s="76">
        <v>2.0211055098734922</v>
      </c>
      <c r="F14" s="76">
        <v>2.338565756781806</v>
      </c>
      <c r="G14" s="76">
        <v>2.43255432675858</v>
      </c>
      <c r="H14" s="76">
        <v>2.4530453793000118</v>
      </c>
      <c r="K14" s="82">
        <f t="shared" si="1"/>
        <v>22</v>
      </c>
      <c r="L14" s="82" t="str">
        <f t="shared" si="2"/>
        <v>Florencia</v>
      </c>
    </row>
    <row r="15">
      <c r="A15" s="82">
        <v>15.0</v>
      </c>
      <c r="B15" s="82">
        <v>1.0</v>
      </c>
      <c r="C15" s="16" t="s">
        <v>347</v>
      </c>
      <c r="D15" s="75" t="s">
        <v>328</v>
      </c>
      <c r="E15" s="76">
        <v>1.7584614655807862</v>
      </c>
      <c r="F15" s="76">
        <v>1.8863902634168377</v>
      </c>
      <c r="G15" s="76">
        <v>1.6130729219809932</v>
      </c>
      <c r="H15" s="76">
        <v>1.9018697656223753</v>
      </c>
      <c r="K15" s="82">
        <f t="shared" si="1"/>
        <v>4</v>
      </c>
      <c r="L15" s="82" t="str">
        <f t="shared" si="2"/>
        <v>Tunja</v>
      </c>
    </row>
    <row r="16">
      <c r="A16" s="82">
        <v>16.0</v>
      </c>
      <c r="B16" s="82">
        <v>1.0</v>
      </c>
      <c r="C16" s="16" t="s">
        <v>347</v>
      </c>
      <c r="D16" s="75" t="s">
        <v>324</v>
      </c>
      <c r="E16" s="76">
        <v>1.7508050815148757</v>
      </c>
      <c r="F16" s="76">
        <v>1.9842849323584364</v>
      </c>
      <c r="G16" s="76">
        <v>1.78678200908182</v>
      </c>
      <c r="H16" s="76">
        <v>2.09783820898893</v>
      </c>
      <c r="K16" s="82">
        <f t="shared" si="1"/>
        <v>11</v>
      </c>
      <c r="L16" s="82" t="str">
        <f t="shared" si="2"/>
        <v>Leticia</v>
      </c>
    </row>
    <row r="17">
      <c r="A17" s="82">
        <v>19.0</v>
      </c>
      <c r="B17" s="82">
        <v>1.0</v>
      </c>
      <c r="C17" s="16" t="s">
        <v>347</v>
      </c>
      <c r="D17" s="75" t="s">
        <v>321</v>
      </c>
      <c r="E17" s="76">
        <v>1.4180888827063263</v>
      </c>
      <c r="F17" s="76">
        <v>1.4906425500476264</v>
      </c>
      <c r="G17" s="76">
        <v>0.6801881944205792</v>
      </c>
      <c r="H17" s="76">
        <v>1.065163575814239</v>
      </c>
    </row>
    <row r="18">
      <c r="A18" s="82">
        <v>20.0</v>
      </c>
      <c r="B18" s="82">
        <v>1.0</v>
      </c>
      <c r="C18" s="16" t="s">
        <v>347</v>
      </c>
      <c r="D18" s="75" t="s">
        <v>317</v>
      </c>
      <c r="E18" s="76">
        <v>1.3586294726938748</v>
      </c>
      <c r="F18" s="76">
        <v>1.3948201342498674</v>
      </c>
      <c r="G18" s="76">
        <v>1.2833103398047485</v>
      </c>
      <c r="H18" s="76">
        <v>1.421744833930418</v>
      </c>
      <c r="K18" s="83" t="s">
        <v>350</v>
      </c>
      <c r="L18" s="85"/>
      <c r="M18" s="84"/>
    </row>
    <row r="19">
      <c r="A19" s="82">
        <v>21.0</v>
      </c>
      <c r="B19" s="82">
        <v>1.0</v>
      </c>
      <c r="C19" s="16" t="s">
        <v>347</v>
      </c>
      <c r="D19" s="75" t="s">
        <v>314</v>
      </c>
      <c r="E19" s="76">
        <v>1.3024908666052233</v>
      </c>
      <c r="F19" s="76">
        <v>1.6008355779904757</v>
      </c>
      <c r="G19" s="76">
        <v>1.7887987237914222</v>
      </c>
      <c r="H19" s="76">
        <v>2.0739189264209603</v>
      </c>
      <c r="K19" s="86">
        <v>0.0</v>
      </c>
      <c r="L19" s="82">
        <v>2.0</v>
      </c>
      <c r="M19" s="75" t="s">
        <v>307</v>
      </c>
    </row>
    <row r="20">
      <c r="A20" s="82">
        <v>27.0</v>
      </c>
      <c r="B20" s="82">
        <v>1.0</v>
      </c>
      <c r="C20" s="16" t="s">
        <v>347</v>
      </c>
      <c r="D20" s="75" t="s">
        <v>322</v>
      </c>
      <c r="E20" s="76">
        <v>0.15497549735309998</v>
      </c>
      <c r="F20" s="76">
        <v>0.29305232920952773</v>
      </c>
      <c r="G20" s="76">
        <v>0.3699513036747545</v>
      </c>
      <c r="H20" s="76">
        <v>0.7582631741178236</v>
      </c>
      <c r="K20" s="86">
        <v>1.0</v>
      </c>
      <c r="L20" s="82">
        <v>2.0</v>
      </c>
      <c r="M20" s="75" t="s">
        <v>308</v>
      </c>
    </row>
    <row r="21" ht="15.75" customHeight="1">
      <c r="A21" s="82">
        <v>14.0</v>
      </c>
      <c r="B21" s="82">
        <v>2.0</v>
      </c>
      <c r="C21" s="16" t="s">
        <v>351</v>
      </c>
      <c r="D21" s="75" t="s">
        <v>312</v>
      </c>
      <c r="E21" s="76">
        <v>1.7663443086206314</v>
      </c>
      <c r="F21" s="76">
        <v>2.1323650256700146</v>
      </c>
      <c r="G21" s="76">
        <v>2.4801848190259297</v>
      </c>
      <c r="H21" s="76">
        <v>2.8888140793089696</v>
      </c>
      <c r="K21" s="86">
        <v>2.0</v>
      </c>
      <c r="L21" s="82">
        <v>3.0</v>
      </c>
      <c r="M21" s="75" t="s">
        <v>323</v>
      </c>
    </row>
    <row r="22" ht="15.75" customHeight="1">
      <c r="A22" s="82">
        <v>22.0</v>
      </c>
      <c r="B22" s="82">
        <v>2.0</v>
      </c>
      <c r="C22" s="16" t="s">
        <v>351</v>
      </c>
      <c r="D22" s="75" t="s">
        <v>327</v>
      </c>
      <c r="E22" s="76">
        <v>1.2337132086347329</v>
      </c>
      <c r="F22" s="76">
        <v>1.2597402165179459</v>
      </c>
      <c r="G22" s="76">
        <v>0.899350897266896</v>
      </c>
      <c r="H22" s="76">
        <v>1.1517248616741642</v>
      </c>
      <c r="K22" s="86">
        <v>3.0</v>
      </c>
      <c r="M22" s="16" t="s">
        <v>352</v>
      </c>
    </row>
    <row r="23" ht="15.75" customHeight="1">
      <c r="A23" s="82">
        <v>23.0</v>
      </c>
      <c r="B23" s="82">
        <v>2.0</v>
      </c>
      <c r="C23" s="16" t="s">
        <v>351</v>
      </c>
      <c r="D23" s="75" t="s">
        <v>323</v>
      </c>
      <c r="E23" s="76">
        <v>1.1243651788620608</v>
      </c>
      <c r="F23" s="76">
        <v>1.4354954540788922</v>
      </c>
      <c r="G23" s="76">
        <v>1.4835937042219396</v>
      </c>
      <c r="H23" s="76">
        <v>1.9227080039508428</v>
      </c>
      <c r="K23" s="86">
        <v>4.0</v>
      </c>
      <c r="L23" s="82">
        <v>2.0</v>
      </c>
      <c r="M23" s="75" t="s">
        <v>332</v>
      </c>
    </row>
    <row r="24" ht="15.75" customHeight="1">
      <c r="A24" s="82">
        <v>17.0</v>
      </c>
      <c r="B24" s="82">
        <v>3.0</v>
      </c>
      <c r="C24" s="16" t="s">
        <v>353</v>
      </c>
      <c r="D24" s="75" t="s">
        <v>326</v>
      </c>
      <c r="E24" s="76">
        <v>1.5148173853051385</v>
      </c>
      <c r="F24" s="76">
        <v>2.3982135389726684</v>
      </c>
      <c r="G24" s="76">
        <v>2.0229893255490685</v>
      </c>
      <c r="H24" s="76">
        <v>2.0671971151175548</v>
      </c>
      <c r="K24" s="86">
        <v>5.0</v>
      </c>
      <c r="L24" s="82">
        <v>2.0</v>
      </c>
      <c r="M24" s="75" t="s">
        <v>335</v>
      </c>
    </row>
    <row r="25" ht="15.75" customHeight="1">
      <c r="A25" s="82">
        <v>29.0</v>
      </c>
      <c r="B25" s="82">
        <v>4.0</v>
      </c>
      <c r="C25" s="16" t="s">
        <v>354</v>
      </c>
      <c r="D25" s="75" t="s">
        <v>329</v>
      </c>
      <c r="E25" s="76">
        <v>0.03721548493215925</v>
      </c>
      <c r="F25" s="76">
        <v>0.07288522901785958</v>
      </c>
      <c r="G25" s="76">
        <v>0.07802258373219359</v>
      </c>
      <c r="H25" s="76">
        <v>0.10767774394636384</v>
      </c>
      <c r="K25" s="86">
        <v>6.0</v>
      </c>
      <c r="M25" s="16" t="s">
        <v>355</v>
      </c>
    </row>
    <row r="26" ht="15.75" customHeight="1">
      <c r="A26" s="82">
        <v>30.0</v>
      </c>
      <c r="B26" s="82">
        <v>4.0</v>
      </c>
      <c r="C26" s="16" t="s">
        <v>354</v>
      </c>
      <c r="D26" s="75" t="s">
        <v>332</v>
      </c>
      <c r="E26" s="76">
        <v>0.005636904211339277</v>
      </c>
      <c r="F26" s="76">
        <v>0.10683475033333845</v>
      </c>
      <c r="G26" s="76">
        <v>0.09782462418622576</v>
      </c>
      <c r="H26" s="76">
        <v>0.02783867874434841</v>
      </c>
    </row>
    <row r="27" ht="15.75" customHeight="1">
      <c r="A27" s="82">
        <v>31.0</v>
      </c>
      <c r="B27" s="82">
        <v>4.0</v>
      </c>
      <c r="C27" s="16" t="s">
        <v>354</v>
      </c>
      <c r="D27" s="75" t="s">
        <v>334</v>
      </c>
      <c r="E27" s="76">
        <v>0.0</v>
      </c>
      <c r="F27" s="76">
        <v>0.027335698826727012</v>
      </c>
      <c r="G27" s="76">
        <v>0.043747883371816246</v>
      </c>
      <c r="H27" s="76">
        <v>0.050976815031857074</v>
      </c>
    </row>
    <row r="28" ht="15.75" customHeight="1">
      <c r="A28" s="82">
        <v>32.0</v>
      </c>
      <c r="B28" s="82">
        <v>4.0</v>
      </c>
      <c r="C28" s="16" t="s">
        <v>354</v>
      </c>
      <c r="D28" s="75" t="s">
        <v>333</v>
      </c>
      <c r="E28" s="76">
        <v>0.0</v>
      </c>
      <c r="F28" s="76">
        <v>0.039239157494567675</v>
      </c>
      <c r="G28" s="76">
        <v>0.03764855478437503</v>
      </c>
      <c r="H28" s="76">
        <v>0.0</v>
      </c>
    </row>
    <row r="29" ht="15.75" customHeight="1">
      <c r="A29" s="82">
        <v>25.0</v>
      </c>
      <c r="B29" s="82">
        <v>4.0</v>
      </c>
      <c r="C29" s="16" t="s">
        <v>354</v>
      </c>
      <c r="D29" s="75" t="s">
        <v>325</v>
      </c>
      <c r="E29" s="76">
        <v>0.6926259927037406</v>
      </c>
      <c r="F29" s="76">
        <v>0.8617451780270092</v>
      </c>
      <c r="G29" s="76">
        <v>0.9420565550856852</v>
      </c>
      <c r="H29" s="76">
        <v>0.854997071478527</v>
      </c>
    </row>
    <row r="30" ht="15.75" customHeight="1">
      <c r="A30" s="82">
        <v>28.0</v>
      </c>
      <c r="B30" s="82">
        <v>5.0</v>
      </c>
      <c r="C30" s="16" t="s">
        <v>356</v>
      </c>
      <c r="D30" s="75" t="s">
        <v>331</v>
      </c>
      <c r="E30" s="76">
        <v>0.042230305460744556</v>
      </c>
      <c r="F30" s="76">
        <v>0.056740662123860336</v>
      </c>
      <c r="G30" s="76">
        <v>0.04948935218210415</v>
      </c>
      <c r="H30" s="76">
        <v>0.056359640977421424</v>
      </c>
    </row>
    <row r="31" ht="15.75" customHeight="1">
      <c r="A31" s="82">
        <v>11.0</v>
      </c>
      <c r="B31" s="82">
        <v>5.0</v>
      </c>
      <c r="C31" s="16" t="s">
        <v>356</v>
      </c>
      <c r="D31" s="75" t="s">
        <v>335</v>
      </c>
      <c r="E31" s="76">
        <v>2.330339497126394</v>
      </c>
      <c r="F31" s="76">
        <v>2.359573922738461</v>
      </c>
      <c r="G31" s="76">
        <v>1.6707720530332097</v>
      </c>
      <c r="H31" s="76">
        <v>2.0715405564511484</v>
      </c>
    </row>
    <row r="32" ht="15.75" customHeight="1">
      <c r="A32" s="82">
        <v>24.0</v>
      </c>
      <c r="B32" s="82">
        <v>5.0</v>
      </c>
      <c r="C32" s="16" t="s">
        <v>356</v>
      </c>
      <c r="D32" s="75" t="s">
        <v>330</v>
      </c>
      <c r="E32" s="76">
        <v>0.8675873041773603</v>
      </c>
      <c r="F32" s="76">
        <v>0.9958874120202887</v>
      </c>
      <c r="G32" s="76">
        <v>0.6981374759903356</v>
      </c>
      <c r="H32" s="76">
        <v>0.6972824807317755</v>
      </c>
    </row>
    <row r="33" ht="15.75" customHeight="1">
      <c r="A33" s="82">
        <v>26.0</v>
      </c>
      <c r="B33" s="82">
        <v>6.0</v>
      </c>
      <c r="C33" s="16" t="s">
        <v>357</v>
      </c>
      <c r="D33" s="75" t="s">
        <v>336</v>
      </c>
      <c r="E33" s="76">
        <v>0.4944254032063619</v>
      </c>
      <c r="F33" s="76">
        <v>0.0</v>
      </c>
      <c r="G33" s="76">
        <v>0.0</v>
      </c>
      <c r="H33" s="76">
        <v>0.024871753522918136</v>
      </c>
    </row>
    <row r="34" ht="15.75" customHeight="1">
      <c r="D34" s="16"/>
      <c r="E34" s="16"/>
      <c r="F34" s="16"/>
      <c r="G34" s="16"/>
      <c r="H34" s="16"/>
    </row>
    <row r="35" ht="15.75" customHeight="1">
      <c r="D35" s="16"/>
      <c r="E35" s="16"/>
      <c r="F35" s="16"/>
      <c r="G35" s="16"/>
      <c r="H35" s="16"/>
    </row>
    <row r="36" ht="15.75" customHeight="1">
      <c r="D36" s="16"/>
      <c r="E36" s="16"/>
      <c r="F36" s="16"/>
      <c r="G36" s="16"/>
      <c r="H36" s="16"/>
    </row>
    <row r="37" ht="15.75" customHeight="1">
      <c r="D37" s="16"/>
      <c r="E37" s="16"/>
      <c r="F37" s="16"/>
      <c r="G37" s="16"/>
      <c r="H37" s="16"/>
    </row>
    <row r="38" ht="15.75" customHeight="1">
      <c r="D38" s="16"/>
      <c r="E38" s="16"/>
      <c r="F38" s="16"/>
      <c r="G38" s="16"/>
      <c r="H38" s="16"/>
    </row>
    <row r="39" ht="15.75" customHeight="1">
      <c r="D39" s="16"/>
      <c r="E39" s="16"/>
      <c r="F39" s="16"/>
      <c r="G39" s="16"/>
      <c r="H39" s="16"/>
    </row>
    <row r="40" ht="15.75" customHeight="1">
      <c r="D40" s="16"/>
      <c r="E40" s="16"/>
      <c r="F40" s="16"/>
      <c r="G40" s="16"/>
      <c r="H40" s="16"/>
    </row>
    <row r="41" ht="15.75" customHeight="1">
      <c r="D41" s="16"/>
      <c r="E41" s="16"/>
      <c r="F41" s="16"/>
      <c r="G41" s="16"/>
      <c r="H41" s="16"/>
    </row>
    <row r="42" ht="15.75" customHeight="1">
      <c r="D42" s="16"/>
      <c r="E42" s="16"/>
      <c r="F42" s="16"/>
      <c r="G42" s="16"/>
      <c r="H42" s="16"/>
    </row>
    <row r="43" ht="15.75" customHeight="1">
      <c r="D43" s="16"/>
      <c r="E43" s="16"/>
      <c r="F43" s="16"/>
      <c r="G43" s="16"/>
      <c r="H43" s="16"/>
    </row>
    <row r="44" ht="15.75" customHeight="1">
      <c r="D44" s="16"/>
      <c r="E44" s="16"/>
      <c r="F44" s="16"/>
      <c r="G44" s="16"/>
      <c r="H44" s="16"/>
    </row>
    <row r="45" ht="15.75" customHeight="1">
      <c r="D45" s="16"/>
      <c r="E45" s="16"/>
      <c r="F45" s="16"/>
      <c r="G45" s="16"/>
      <c r="H45" s="16"/>
    </row>
    <row r="46" ht="15.75" customHeight="1">
      <c r="D46" s="16"/>
      <c r="E46" s="16"/>
      <c r="F46" s="16"/>
      <c r="G46" s="16"/>
      <c r="H46" s="16"/>
    </row>
    <row r="47" ht="15.75" customHeight="1">
      <c r="D47" s="16"/>
      <c r="E47" s="16"/>
      <c r="F47" s="16"/>
      <c r="G47" s="16"/>
      <c r="H47" s="16"/>
    </row>
    <row r="48" ht="15.75" customHeight="1">
      <c r="D48" s="16"/>
      <c r="E48" s="16"/>
      <c r="F48" s="16"/>
      <c r="G48" s="16"/>
      <c r="H48" s="16"/>
    </row>
    <row r="49" ht="15.75" customHeight="1">
      <c r="D49" s="16"/>
      <c r="E49" s="16"/>
      <c r="F49" s="16"/>
      <c r="G49" s="16"/>
      <c r="H49" s="16"/>
    </row>
    <row r="50" ht="15.75" customHeight="1">
      <c r="D50" s="16"/>
      <c r="E50" s="16"/>
      <c r="F50" s="16"/>
      <c r="G50" s="16"/>
      <c r="H50" s="16"/>
    </row>
    <row r="51" ht="15.75" customHeight="1">
      <c r="D51" s="16"/>
      <c r="E51" s="16"/>
      <c r="F51" s="16"/>
      <c r="G51" s="16"/>
      <c r="H51" s="16"/>
    </row>
    <row r="52" ht="15.75" customHeight="1">
      <c r="D52" s="16"/>
      <c r="E52" s="16"/>
      <c r="F52" s="16"/>
      <c r="G52" s="16"/>
      <c r="H52" s="16"/>
    </row>
    <row r="53" ht="15.75" customHeight="1">
      <c r="D53" s="16"/>
      <c r="E53" s="16"/>
      <c r="F53" s="16"/>
      <c r="G53" s="16"/>
      <c r="H53" s="16"/>
    </row>
    <row r="54" ht="15.75" customHeight="1">
      <c r="D54" s="16"/>
      <c r="E54" s="16"/>
      <c r="F54" s="16"/>
      <c r="G54" s="16"/>
      <c r="H54" s="16"/>
    </row>
    <row r="55" ht="15.75" customHeight="1">
      <c r="D55" s="16"/>
      <c r="E55" s="16"/>
      <c r="F55" s="16"/>
      <c r="G55" s="16"/>
      <c r="H55" s="16"/>
    </row>
    <row r="56" ht="15.75" customHeight="1">
      <c r="D56" s="16"/>
      <c r="E56" s="16"/>
      <c r="F56" s="16"/>
      <c r="G56" s="16"/>
      <c r="H56" s="16"/>
    </row>
    <row r="57" ht="15.75" customHeight="1">
      <c r="D57" s="16"/>
      <c r="E57" s="16"/>
      <c r="F57" s="16"/>
      <c r="G57" s="16"/>
      <c r="H57" s="16"/>
    </row>
    <row r="58" ht="15.75" customHeight="1">
      <c r="D58" s="16"/>
      <c r="E58" s="16"/>
      <c r="F58" s="16"/>
      <c r="G58" s="16"/>
      <c r="H58" s="16"/>
    </row>
    <row r="59" ht="15.75" customHeight="1">
      <c r="D59" s="16"/>
      <c r="E59" s="16"/>
      <c r="F59" s="16"/>
      <c r="G59" s="16"/>
      <c r="H59" s="16"/>
    </row>
    <row r="60" ht="15.75" customHeight="1">
      <c r="D60" s="16"/>
      <c r="E60" s="16"/>
      <c r="F60" s="16"/>
      <c r="G60" s="16"/>
      <c r="H60" s="16"/>
    </row>
    <row r="61" ht="15.75" customHeight="1">
      <c r="D61" s="16"/>
      <c r="E61" s="16"/>
      <c r="F61" s="16"/>
      <c r="G61" s="16"/>
      <c r="H61" s="16"/>
    </row>
    <row r="62" ht="15.75" customHeight="1">
      <c r="D62" s="16"/>
      <c r="E62" s="16"/>
      <c r="F62" s="16"/>
      <c r="G62" s="16"/>
      <c r="H62" s="16"/>
    </row>
    <row r="63" ht="15.75" customHeight="1">
      <c r="D63" s="16"/>
      <c r="E63" s="16"/>
      <c r="F63" s="16"/>
      <c r="G63" s="16"/>
      <c r="H63" s="16"/>
    </row>
    <row r="64" ht="15.75" customHeight="1">
      <c r="D64" s="16"/>
      <c r="E64" s="16"/>
      <c r="F64" s="16"/>
      <c r="G64" s="16"/>
      <c r="H64" s="16"/>
    </row>
    <row r="65" ht="15.75" customHeight="1">
      <c r="D65" s="16"/>
      <c r="E65" s="16"/>
      <c r="F65" s="16"/>
      <c r="G65" s="16"/>
      <c r="H65" s="16"/>
    </row>
    <row r="66" ht="15.75" customHeight="1">
      <c r="D66" s="16"/>
      <c r="E66" s="16"/>
      <c r="F66" s="16"/>
      <c r="G66" s="16"/>
      <c r="H66" s="16"/>
    </row>
    <row r="67" ht="15.75" customHeight="1">
      <c r="D67" s="16"/>
      <c r="E67" s="16"/>
      <c r="F67" s="16"/>
      <c r="G67" s="16"/>
      <c r="H67" s="16"/>
    </row>
    <row r="68" ht="15.75" customHeight="1">
      <c r="D68" s="16"/>
      <c r="E68" s="16"/>
      <c r="F68" s="16"/>
      <c r="G68" s="16"/>
      <c r="H68" s="16"/>
    </row>
    <row r="69" ht="15.75" customHeight="1">
      <c r="D69" s="16"/>
      <c r="E69" s="16"/>
      <c r="F69" s="16"/>
      <c r="G69" s="16"/>
      <c r="H69" s="16"/>
    </row>
    <row r="70" ht="15.75" customHeight="1">
      <c r="D70" s="16"/>
      <c r="E70" s="16"/>
      <c r="F70" s="16"/>
      <c r="G70" s="16"/>
      <c r="H70" s="16"/>
    </row>
    <row r="71" ht="15.75" customHeight="1">
      <c r="D71" s="16"/>
      <c r="E71" s="16"/>
      <c r="F71" s="16"/>
      <c r="G71" s="16"/>
      <c r="H71" s="16"/>
    </row>
    <row r="72" ht="15.75" customHeight="1">
      <c r="D72" s="16"/>
      <c r="E72" s="16"/>
      <c r="F72" s="16"/>
      <c r="G72" s="16"/>
      <c r="H72" s="16"/>
    </row>
    <row r="73" ht="15.75" customHeight="1">
      <c r="D73" s="16"/>
      <c r="E73" s="16"/>
      <c r="F73" s="16"/>
      <c r="G73" s="16"/>
      <c r="H73" s="16"/>
    </row>
    <row r="74" ht="15.75" customHeight="1">
      <c r="D74" s="16"/>
      <c r="E74" s="16"/>
      <c r="F74" s="16"/>
      <c r="G74" s="16"/>
      <c r="H74" s="16"/>
    </row>
    <row r="75" ht="15.75" customHeight="1">
      <c r="D75" s="16"/>
      <c r="E75" s="16"/>
      <c r="F75" s="16"/>
      <c r="G75" s="16"/>
      <c r="H75" s="16"/>
    </row>
    <row r="76" ht="15.75" customHeight="1">
      <c r="D76" s="16"/>
      <c r="E76" s="16"/>
      <c r="F76" s="16"/>
      <c r="G76" s="16"/>
      <c r="H76" s="16"/>
    </row>
    <row r="77" ht="15.75" customHeight="1">
      <c r="D77" s="16"/>
      <c r="E77" s="16"/>
      <c r="F77" s="16"/>
      <c r="G77" s="16"/>
      <c r="H77" s="16"/>
    </row>
    <row r="78" ht="15.75" customHeight="1">
      <c r="D78" s="16"/>
      <c r="E78" s="16"/>
      <c r="F78" s="16"/>
      <c r="G78" s="16"/>
      <c r="H78" s="16"/>
    </row>
    <row r="79" ht="15.75" customHeight="1">
      <c r="D79" s="16"/>
      <c r="E79" s="16"/>
      <c r="F79" s="16"/>
      <c r="G79" s="16"/>
      <c r="H79" s="16"/>
    </row>
    <row r="80" ht="15.75" customHeight="1">
      <c r="D80" s="16"/>
      <c r="E80" s="16"/>
      <c r="F80" s="16"/>
      <c r="G80" s="16"/>
      <c r="H80" s="16"/>
    </row>
    <row r="81" ht="15.75" customHeight="1">
      <c r="D81" s="16"/>
      <c r="E81" s="16"/>
      <c r="F81" s="16"/>
      <c r="G81" s="16"/>
      <c r="H81" s="16"/>
    </row>
    <row r="82" ht="15.75" customHeight="1">
      <c r="D82" s="16"/>
      <c r="E82" s="16"/>
      <c r="F82" s="16"/>
      <c r="G82" s="16"/>
      <c r="H82" s="16"/>
    </row>
    <row r="83" ht="15.75" customHeight="1">
      <c r="D83" s="16"/>
      <c r="E83" s="16"/>
      <c r="F83" s="16"/>
      <c r="G83" s="16"/>
      <c r="H83" s="16"/>
    </row>
    <row r="84" ht="15.75" customHeight="1">
      <c r="D84" s="16"/>
      <c r="E84" s="16"/>
      <c r="F84" s="16"/>
      <c r="G84" s="16"/>
      <c r="H84" s="16"/>
    </row>
    <row r="85" ht="15.75" customHeight="1">
      <c r="D85" s="16"/>
      <c r="E85" s="16"/>
      <c r="F85" s="16"/>
      <c r="G85" s="16"/>
      <c r="H85" s="16"/>
    </row>
    <row r="86" ht="15.75" customHeight="1">
      <c r="D86" s="16"/>
      <c r="E86" s="16"/>
      <c r="F86" s="16"/>
      <c r="G86" s="16"/>
      <c r="H86" s="16"/>
    </row>
    <row r="87" ht="15.75" customHeight="1">
      <c r="D87" s="16"/>
      <c r="E87" s="16"/>
      <c r="F87" s="16"/>
      <c r="G87" s="16"/>
      <c r="H87" s="16"/>
    </row>
    <row r="88" ht="15.75" customHeight="1">
      <c r="D88" s="16"/>
      <c r="E88" s="16"/>
      <c r="F88" s="16"/>
      <c r="G88" s="16"/>
      <c r="H88" s="16"/>
    </row>
    <row r="89" ht="15.75" customHeight="1">
      <c r="D89" s="16"/>
      <c r="E89" s="16"/>
      <c r="F89" s="16"/>
      <c r="G89" s="16"/>
      <c r="H89" s="16"/>
    </row>
    <row r="90" ht="15.75" customHeight="1">
      <c r="D90" s="16"/>
      <c r="E90" s="16"/>
      <c r="F90" s="16"/>
      <c r="G90" s="16"/>
      <c r="H90" s="16"/>
    </row>
    <row r="91" ht="15.75" customHeight="1">
      <c r="D91" s="16"/>
      <c r="E91" s="16"/>
      <c r="F91" s="16"/>
      <c r="G91" s="16"/>
      <c r="H91" s="16"/>
    </row>
    <row r="92" ht="15.75" customHeight="1">
      <c r="D92" s="16"/>
      <c r="E92" s="16"/>
      <c r="F92" s="16"/>
      <c r="G92" s="16"/>
      <c r="H92" s="16"/>
    </row>
    <row r="93" ht="15.75" customHeight="1">
      <c r="D93" s="16"/>
      <c r="E93" s="16"/>
      <c r="F93" s="16"/>
      <c r="G93" s="16"/>
      <c r="H93" s="16"/>
    </row>
    <row r="94" ht="15.75" customHeight="1">
      <c r="D94" s="16"/>
      <c r="E94" s="16"/>
      <c r="F94" s="16"/>
      <c r="G94" s="16"/>
      <c r="H94" s="16"/>
    </row>
    <row r="95" ht="15.75" customHeight="1">
      <c r="D95" s="16"/>
      <c r="E95" s="16"/>
      <c r="F95" s="16"/>
      <c r="G95" s="16"/>
      <c r="H95" s="16"/>
    </row>
    <row r="96" ht="15.75" customHeight="1">
      <c r="D96" s="16"/>
      <c r="E96" s="16"/>
      <c r="F96" s="16"/>
      <c r="G96" s="16"/>
      <c r="H96" s="16"/>
    </row>
    <row r="97" ht="15.75" customHeight="1">
      <c r="D97" s="16"/>
      <c r="E97" s="16"/>
      <c r="F97" s="16"/>
      <c r="G97" s="16"/>
      <c r="H97" s="16"/>
    </row>
    <row r="98" ht="15.75" customHeight="1">
      <c r="D98" s="16"/>
      <c r="E98" s="16"/>
      <c r="F98" s="16"/>
      <c r="G98" s="16"/>
      <c r="H98" s="16"/>
    </row>
    <row r="99" ht="15.75" customHeight="1">
      <c r="D99" s="16"/>
      <c r="E99" s="16"/>
      <c r="F99" s="16"/>
      <c r="G99" s="16"/>
      <c r="H99" s="16"/>
    </row>
    <row r="100" ht="15.75" customHeight="1">
      <c r="D100" s="16"/>
      <c r="E100" s="16"/>
      <c r="F100" s="16"/>
      <c r="G100" s="16"/>
      <c r="H100" s="16"/>
    </row>
    <row r="101" ht="15.75" customHeight="1">
      <c r="D101" s="16"/>
      <c r="E101" s="16"/>
      <c r="F101" s="16"/>
      <c r="G101" s="16"/>
      <c r="H101" s="16"/>
    </row>
    <row r="102" ht="15.75" customHeight="1">
      <c r="D102" s="16"/>
      <c r="E102" s="16"/>
      <c r="F102" s="16"/>
      <c r="G102" s="16"/>
      <c r="H102" s="16"/>
    </row>
    <row r="103" ht="15.75" customHeight="1">
      <c r="D103" s="16"/>
      <c r="E103" s="16"/>
      <c r="F103" s="16"/>
      <c r="G103" s="16"/>
      <c r="H103" s="16"/>
    </row>
    <row r="104" ht="15.75" customHeight="1">
      <c r="D104" s="16"/>
      <c r="E104" s="16"/>
      <c r="F104" s="16"/>
      <c r="G104" s="16"/>
      <c r="H104" s="16"/>
    </row>
    <row r="105" ht="15.75" customHeight="1">
      <c r="D105" s="16"/>
      <c r="E105" s="16"/>
      <c r="F105" s="16"/>
      <c r="G105" s="16"/>
      <c r="H105" s="16"/>
    </row>
    <row r="106" ht="15.75" customHeight="1">
      <c r="D106" s="16"/>
      <c r="E106" s="16"/>
      <c r="F106" s="16"/>
      <c r="G106" s="16"/>
      <c r="H106" s="16"/>
    </row>
    <row r="107" ht="15.75" customHeight="1">
      <c r="D107" s="16"/>
      <c r="E107" s="16"/>
      <c r="F107" s="16"/>
      <c r="G107" s="16"/>
      <c r="H107" s="16"/>
    </row>
    <row r="108" ht="15.75" customHeight="1">
      <c r="D108" s="16"/>
      <c r="E108" s="16"/>
      <c r="F108" s="16"/>
      <c r="G108" s="16"/>
      <c r="H108" s="16"/>
    </row>
    <row r="109" ht="15.75" customHeight="1">
      <c r="D109" s="16"/>
      <c r="E109" s="16"/>
      <c r="F109" s="16"/>
      <c r="G109" s="16"/>
      <c r="H109" s="16"/>
    </row>
    <row r="110" ht="15.75" customHeight="1">
      <c r="D110" s="16"/>
      <c r="E110" s="16"/>
      <c r="F110" s="16"/>
      <c r="G110" s="16"/>
      <c r="H110" s="16"/>
    </row>
    <row r="111" ht="15.75" customHeight="1">
      <c r="D111" s="16"/>
      <c r="E111" s="16"/>
      <c r="F111" s="16"/>
      <c r="G111" s="16"/>
      <c r="H111" s="16"/>
    </row>
    <row r="112" ht="15.75" customHeight="1">
      <c r="D112" s="16"/>
      <c r="E112" s="16"/>
      <c r="F112" s="16"/>
      <c r="G112" s="16"/>
      <c r="H112" s="16"/>
    </row>
    <row r="113" ht="15.75" customHeight="1">
      <c r="D113" s="16"/>
      <c r="E113" s="16"/>
      <c r="F113" s="16"/>
      <c r="G113" s="16"/>
      <c r="H113" s="16"/>
    </row>
    <row r="114" ht="15.75" customHeight="1">
      <c r="D114" s="16"/>
      <c r="E114" s="16"/>
      <c r="F114" s="16"/>
      <c r="G114" s="16"/>
      <c r="H114" s="16"/>
    </row>
    <row r="115" ht="15.75" customHeight="1">
      <c r="D115" s="16"/>
      <c r="E115" s="16"/>
      <c r="F115" s="16"/>
      <c r="G115" s="16"/>
      <c r="H115" s="16"/>
    </row>
    <row r="116" ht="15.75" customHeight="1">
      <c r="D116" s="16"/>
      <c r="E116" s="16"/>
      <c r="F116" s="16"/>
      <c r="G116" s="16"/>
      <c r="H116" s="16"/>
    </row>
    <row r="117" ht="15.75" customHeight="1">
      <c r="D117" s="16"/>
      <c r="E117" s="16"/>
      <c r="F117" s="16"/>
      <c r="G117" s="16"/>
      <c r="H117" s="16"/>
    </row>
    <row r="118" ht="15.75" customHeight="1">
      <c r="D118" s="16"/>
      <c r="E118" s="16"/>
      <c r="F118" s="16"/>
      <c r="G118" s="16"/>
      <c r="H118" s="16"/>
    </row>
    <row r="119" ht="15.75" customHeight="1">
      <c r="D119" s="16"/>
      <c r="E119" s="16"/>
      <c r="F119" s="16"/>
      <c r="G119" s="16"/>
      <c r="H119" s="16"/>
    </row>
    <row r="120" ht="15.75" customHeight="1">
      <c r="D120" s="16"/>
      <c r="E120" s="16"/>
      <c r="F120" s="16"/>
      <c r="G120" s="16"/>
      <c r="H120" s="16"/>
    </row>
    <row r="121" ht="15.75" customHeight="1">
      <c r="D121" s="16"/>
      <c r="E121" s="16"/>
      <c r="F121" s="16"/>
      <c r="G121" s="16"/>
      <c r="H121" s="16"/>
    </row>
    <row r="122" ht="15.75" customHeight="1">
      <c r="D122" s="16"/>
      <c r="E122" s="16"/>
      <c r="F122" s="16"/>
      <c r="G122" s="16"/>
      <c r="H122" s="16"/>
    </row>
    <row r="123" ht="15.75" customHeight="1">
      <c r="D123" s="16"/>
      <c r="E123" s="16"/>
      <c r="F123" s="16"/>
      <c r="G123" s="16"/>
      <c r="H123" s="16"/>
    </row>
    <row r="124" ht="15.75" customHeight="1">
      <c r="D124" s="16"/>
      <c r="E124" s="16"/>
      <c r="F124" s="16"/>
      <c r="G124" s="16"/>
      <c r="H124" s="16"/>
    </row>
    <row r="125" ht="15.75" customHeight="1">
      <c r="D125" s="16"/>
      <c r="E125" s="16"/>
      <c r="F125" s="16"/>
      <c r="G125" s="16"/>
      <c r="H125" s="16"/>
    </row>
    <row r="126" ht="15.75" customHeight="1">
      <c r="D126" s="16"/>
      <c r="E126" s="16"/>
      <c r="F126" s="16"/>
      <c r="G126" s="16"/>
      <c r="H126" s="16"/>
    </row>
    <row r="127" ht="15.75" customHeight="1">
      <c r="D127" s="16"/>
      <c r="E127" s="16"/>
      <c r="F127" s="16"/>
      <c r="G127" s="16"/>
      <c r="H127" s="16"/>
    </row>
    <row r="128" ht="15.75" customHeight="1">
      <c r="D128" s="16"/>
      <c r="E128" s="16"/>
      <c r="F128" s="16"/>
      <c r="G128" s="16"/>
      <c r="H128" s="16"/>
    </row>
    <row r="129" ht="15.75" customHeight="1">
      <c r="D129" s="16"/>
      <c r="E129" s="16"/>
      <c r="F129" s="16"/>
      <c r="G129" s="16"/>
      <c r="H129" s="16"/>
    </row>
    <row r="130" ht="15.75" customHeight="1">
      <c r="D130" s="16"/>
      <c r="E130" s="16"/>
      <c r="F130" s="16"/>
      <c r="G130" s="16"/>
      <c r="H130" s="16"/>
    </row>
    <row r="131" ht="15.75" customHeight="1">
      <c r="D131" s="16"/>
      <c r="E131" s="16"/>
      <c r="F131" s="16"/>
      <c r="G131" s="16"/>
      <c r="H131" s="16"/>
    </row>
    <row r="132" ht="15.75" customHeight="1">
      <c r="D132" s="16"/>
      <c r="E132" s="16"/>
      <c r="F132" s="16"/>
      <c r="G132" s="16"/>
      <c r="H132" s="16"/>
    </row>
    <row r="133" ht="15.75" customHeight="1">
      <c r="D133" s="16"/>
      <c r="E133" s="16"/>
      <c r="F133" s="16"/>
      <c r="G133" s="16"/>
      <c r="H133" s="16"/>
    </row>
    <row r="134" ht="15.75" customHeight="1">
      <c r="D134" s="16"/>
      <c r="E134" s="16"/>
      <c r="F134" s="16"/>
      <c r="G134" s="16"/>
      <c r="H134" s="16"/>
    </row>
    <row r="135" ht="15.75" customHeight="1">
      <c r="D135" s="16"/>
      <c r="E135" s="16"/>
      <c r="F135" s="16"/>
      <c r="G135" s="16"/>
      <c r="H135" s="16"/>
    </row>
    <row r="136" ht="15.75" customHeight="1">
      <c r="D136" s="16"/>
      <c r="E136" s="16"/>
      <c r="F136" s="16"/>
      <c r="G136" s="16"/>
      <c r="H136" s="16"/>
    </row>
    <row r="137" ht="15.75" customHeight="1">
      <c r="D137" s="16"/>
      <c r="E137" s="16"/>
      <c r="F137" s="16"/>
      <c r="G137" s="16"/>
      <c r="H137" s="16"/>
    </row>
    <row r="138" ht="15.75" customHeight="1">
      <c r="D138" s="16"/>
      <c r="E138" s="16"/>
      <c r="F138" s="16"/>
      <c r="G138" s="16"/>
      <c r="H138" s="16"/>
    </row>
    <row r="139" ht="15.75" customHeight="1">
      <c r="D139" s="16"/>
      <c r="E139" s="16"/>
      <c r="F139" s="16"/>
      <c r="G139" s="16"/>
      <c r="H139" s="16"/>
    </row>
    <row r="140" ht="15.75" customHeight="1">
      <c r="D140" s="16"/>
      <c r="E140" s="16"/>
      <c r="F140" s="16"/>
      <c r="G140" s="16"/>
      <c r="H140" s="16"/>
    </row>
    <row r="141" ht="15.75" customHeight="1">
      <c r="D141" s="16"/>
      <c r="E141" s="16"/>
      <c r="F141" s="16"/>
      <c r="G141" s="16"/>
      <c r="H141" s="16"/>
    </row>
    <row r="142" ht="15.75" customHeight="1">
      <c r="D142" s="16"/>
      <c r="E142" s="16"/>
      <c r="F142" s="16"/>
      <c r="G142" s="16"/>
      <c r="H142" s="16"/>
    </row>
    <row r="143" ht="15.75" customHeight="1">
      <c r="D143" s="16"/>
      <c r="E143" s="16"/>
      <c r="F143" s="16"/>
      <c r="G143" s="16"/>
      <c r="H143" s="16"/>
    </row>
    <row r="144" ht="15.75" customHeight="1">
      <c r="D144" s="16"/>
      <c r="E144" s="16"/>
      <c r="F144" s="16"/>
      <c r="G144" s="16"/>
      <c r="H144" s="16"/>
    </row>
    <row r="145" ht="15.75" customHeight="1">
      <c r="D145" s="16"/>
      <c r="E145" s="16"/>
      <c r="F145" s="16"/>
      <c r="G145" s="16"/>
      <c r="H145" s="16"/>
    </row>
    <row r="146" ht="15.75" customHeight="1">
      <c r="D146" s="16"/>
      <c r="E146" s="16"/>
      <c r="F146" s="16"/>
      <c r="G146" s="16"/>
      <c r="H146" s="16"/>
    </row>
    <row r="147" ht="15.75" customHeight="1">
      <c r="D147" s="16"/>
      <c r="E147" s="16"/>
      <c r="F147" s="16"/>
      <c r="G147" s="16"/>
      <c r="H147" s="16"/>
    </row>
    <row r="148" ht="15.75" customHeight="1">
      <c r="D148" s="16"/>
      <c r="E148" s="16"/>
      <c r="F148" s="16"/>
      <c r="G148" s="16"/>
      <c r="H148" s="16"/>
    </row>
    <row r="149" ht="15.75" customHeight="1">
      <c r="D149" s="16"/>
      <c r="E149" s="16"/>
      <c r="F149" s="16"/>
      <c r="G149" s="16"/>
      <c r="H149" s="16"/>
    </row>
    <row r="150" ht="15.75" customHeight="1">
      <c r="D150" s="16"/>
      <c r="E150" s="16"/>
      <c r="F150" s="16"/>
      <c r="G150" s="16"/>
      <c r="H150" s="16"/>
    </row>
    <row r="151" ht="15.75" customHeight="1">
      <c r="D151" s="16"/>
      <c r="E151" s="16"/>
      <c r="F151" s="16"/>
      <c r="G151" s="16"/>
      <c r="H151" s="16"/>
    </row>
    <row r="152" ht="15.75" customHeight="1">
      <c r="D152" s="16"/>
      <c r="E152" s="16"/>
      <c r="F152" s="16"/>
      <c r="G152" s="16"/>
      <c r="H152" s="16"/>
    </row>
    <row r="153" ht="15.75" customHeight="1">
      <c r="D153" s="16"/>
      <c r="E153" s="16"/>
      <c r="F153" s="16"/>
      <c r="G153" s="16"/>
      <c r="H153" s="16"/>
    </row>
    <row r="154" ht="15.75" customHeight="1">
      <c r="D154" s="16"/>
      <c r="E154" s="16"/>
      <c r="F154" s="16"/>
      <c r="G154" s="16"/>
      <c r="H154" s="16"/>
    </row>
    <row r="155" ht="15.75" customHeight="1">
      <c r="D155" s="16"/>
      <c r="E155" s="16"/>
      <c r="F155" s="16"/>
      <c r="G155" s="16"/>
      <c r="H155" s="16"/>
    </row>
    <row r="156" ht="15.75" customHeight="1">
      <c r="D156" s="16"/>
      <c r="E156" s="16"/>
      <c r="F156" s="16"/>
      <c r="G156" s="16"/>
      <c r="H156" s="16"/>
    </row>
    <row r="157" ht="15.75" customHeight="1">
      <c r="D157" s="16"/>
      <c r="E157" s="16"/>
      <c r="F157" s="16"/>
      <c r="G157" s="16"/>
      <c r="H157" s="16"/>
    </row>
    <row r="158" ht="15.75" customHeight="1">
      <c r="D158" s="16"/>
      <c r="E158" s="16"/>
      <c r="F158" s="16"/>
      <c r="G158" s="16"/>
      <c r="H158" s="16"/>
    </row>
    <row r="159" ht="15.75" customHeight="1">
      <c r="D159" s="16"/>
      <c r="E159" s="16"/>
      <c r="F159" s="16"/>
      <c r="G159" s="16"/>
      <c r="H159" s="16"/>
    </row>
    <row r="160" ht="15.75" customHeight="1">
      <c r="D160" s="16"/>
      <c r="E160" s="16"/>
      <c r="F160" s="16"/>
      <c r="G160" s="16"/>
      <c r="H160" s="16"/>
    </row>
    <row r="161" ht="15.75" customHeight="1">
      <c r="D161" s="16"/>
      <c r="E161" s="16"/>
      <c r="F161" s="16"/>
      <c r="G161" s="16"/>
      <c r="H161" s="16"/>
    </row>
    <row r="162" ht="15.75" customHeight="1">
      <c r="D162" s="16"/>
      <c r="E162" s="16"/>
      <c r="F162" s="16"/>
      <c r="G162" s="16"/>
      <c r="H162" s="16"/>
    </row>
    <row r="163" ht="15.75" customHeight="1">
      <c r="D163" s="16"/>
      <c r="E163" s="16"/>
      <c r="F163" s="16"/>
      <c r="G163" s="16"/>
      <c r="H163" s="16"/>
    </row>
    <row r="164" ht="15.75" customHeight="1">
      <c r="D164" s="16"/>
      <c r="E164" s="16"/>
      <c r="F164" s="16"/>
      <c r="G164" s="16"/>
      <c r="H164" s="16"/>
    </row>
    <row r="165" ht="15.75" customHeight="1">
      <c r="D165" s="16"/>
      <c r="E165" s="16"/>
      <c r="F165" s="16"/>
      <c r="G165" s="16"/>
      <c r="H165" s="16"/>
    </row>
    <row r="166" ht="15.75" customHeight="1">
      <c r="D166" s="16"/>
      <c r="E166" s="16"/>
      <c r="F166" s="16"/>
      <c r="G166" s="16"/>
      <c r="H166" s="16"/>
    </row>
    <row r="167" ht="15.75" customHeight="1">
      <c r="D167" s="16"/>
      <c r="E167" s="16"/>
      <c r="F167" s="16"/>
      <c r="G167" s="16"/>
      <c r="H167" s="16"/>
    </row>
    <row r="168" ht="15.75" customHeight="1">
      <c r="D168" s="16"/>
      <c r="E168" s="16"/>
      <c r="F168" s="16"/>
      <c r="G168" s="16"/>
      <c r="H168" s="16"/>
    </row>
    <row r="169" ht="15.75" customHeight="1">
      <c r="D169" s="16"/>
      <c r="E169" s="16"/>
      <c r="F169" s="16"/>
      <c r="G169" s="16"/>
      <c r="H169" s="16"/>
    </row>
    <row r="170" ht="15.75" customHeight="1">
      <c r="D170" s="16"/>
      <c r="E170" s="16"/>
      <c r="F170" s="16"/>
      <c r="G170" s="16"/>
      <c r="H170" s="16"/>
    </row>
    <row r="171" ht="15.75" customHeight="1">
      <c r="D171" s="16"/>
      <c r="E171" s="16"/>
      <c r="F171" s="16"/>
      <c r="G171" s="16"/>
      <c r="H171" s="16"/>
    </row>
    <row r="172" ht="15.75" customHeight="1">
      <c r="D172" s="16"/>
      <c r="E172" s="16"/>
      <c r="F172" s="16"/>
      <c r="G172" s="16"/>
      <c r="H172" s="16"/>
    </row>
    <row r="173" ht="15.75" customHeight="1">
      <c r="D173" s="16"/>
      <c r="E173" s="16"/>
      <c r="F173" s="16"/>
      <c r="G173" s="16"/>
      <c r="H173" s="16"/>
    </row>
    <row r="174" ht="15.75" customHeight="1">
      <c r="D174" s="16"/>
      <c r="E174" s="16"/>
      <c r="F174" s="16"/>
      <c r="G174" s="16"/>
      <c r="H174" s="16"/>
    </row>
    <row r="175" ht="15.75" customHeight="1">
      <c r="D175" s="16"/>
      <c r="E175" s="16"/>
      <c r="F175" s="16"/>
      <c r="G175" s="16"/>
      <c r="H175" s="16"/>
    </row>
    <row r="176" ht="15.75" customHeight="1">
      <c r="D176" s="16"/>
      <c r="E176" s="16"/>
      <c r="F176" s="16"/>
      <c r="G176" s="16"/>
      <c r="H176" s="16"/>
    </row>
    <row r="177" ht="15.75" customHeight="1">
      <c r="D177" s="16"/>
      <c r="E177" s="16"/>
      <c r="F177" s="16"/>
      <c r="G177" s="16"/>
      <c r="H177" s="16"/>
    </row>
    <row r="178" ht="15.75" customHeight="1">
      <c r="D178" s="16"/>
      <c r="E178" s="16"/>
      <c r="F178" s="16"/>
      <c r="G178" s="16"/>
      <c r="H178" s="16"/>
    </row>
    <row r="179" ht="15.75" customHeight="1">
      <c r="D179" s="16"/>
      <c r="E179" s="16"/>
      <c r="F179" s="16"/>
      <c r="G179" s="16"/>
      <c r="H179" s="16"/>
    </row>
    <row r="180" ht="15.75" customHeight="1">
      <c r="D180" s="16"/>
      <c r="E180" s="16"/>
      <c r="F180" s="16"/>
      <c r="G180" s="16"/>
      <c r="H180" s="16"/>
    </row>
    <row r="181" ht="15.75" customHeight="1">
      <c r="D181" s="16"/>
      <c r="E181" s="16"/>
      <c r="F181" s="16"/>
      <c r="G181" s="16"/>
      <c r="H181" s="16"/>
    </row>
    <row r="182" ht="15.75" customHeight="1">
      <c r="D182" s="16"/>
      <c r="E182" s="16"/>
      <c r="F182" s="16"/>
      <c r="G182" s="16"/>
      <c r="H182" s="16"/>
    </row>
    <row r="183" ht="15.75" customHeight="1">
      <c r="D183" s="16"/>
      <c r="E183" s="16"/>
      <c r="F183" s="16"/>
      <c r="G183" s="16"/>
      <c r="H183" s="16"/>
    </row>
    <row r="184" ht="15.75" customHeight="1">
      <c r="D184" s="16"/>
      <c r="E184" s="16"/>
      <c r="F184" s="16"/>
      <c r="G184" s="16"/>
      <c r="H184" s="16"/>
    </row>
    <row r="185" ht="15.75" customHeight="1">
      <c r="D185" s="16"/>
      <c r="E185" s="16"/>
      <c r="F185" s="16"/>
      <c r="G185" s="16"/>
      <c r="H185" s="16"/>
    </row>
    <row r="186" ht="15.75" customHeight="1">
      <c r="D186" s="16"/>
      <c r="E186" s="16"/>
      <c r="F186" s="16"/>
      <c r="G186" s="16"/>
      <c r="H186" s="16"/>
    </row>
    <row r="187" ht="15.75" customHeight="1">
      <c r="D187" s="16"/>
      <c r="E187" s="16"/>
      <c r="F187" s="16"/>
      <c r="G187" s="16"/>
      <c r="H187" s="16"/>
    </row>
    <row r="188" ht="15.75" customHeight="1">
      <c r="D188" s="16"/>
      <c r="E188" s="16"/>
      <c r="F188" s="16"/>
      <c r="G188" s="16"/>
      <c r="H188" s="16"/>
    </row>
    <row r="189" ht="15.75" customHeight="1">
      <c r="D189" s="16"/>
      <c r="E189" s="16"/>
      <c r="F189" s="16"/>
      <c r="G189" s="16"/>
      <c r="H189" s="16"/>
    </row>
    <row r="190" ht="15.75" customHeight="1">
      <c r="D190" s="16"/>
      <c r="E190" s="16"/>
      <c r="F190" s="16"/>
      <c r="G190" s="16"/>
      <c r="H190" s="16"/>
    </row>
    <row r="191" ht="15.75" customHeight="1">
      <c r="D191" s="16"/>
      <c r="E191" s="16"/>
      <c r="F191" s="16"/>
      <c r="G191" s="16"/>
      <c r="H191" s="16"/>
    </row>
    <row r="192" ht="15.75" customHeight="1">
      <c r="D192" s="16"/>
      <c r="E192" s="16"/>
      <c r="F192" s="16"/>
      <c r="G192" s="16"/>
      <c r="H192" s="16"/>
    </row>
    <row r="193" ht="15.75" customHeight="1">
      <c r="D193" s="16"/>
      <c r="E193" s="16"/>
      <c r="F193" s="16"/>
      <c r="G193" s="16"/>
      <c r="H193" s="16"/>
    </row>
    <row r="194" ht="15.75" customHeight="1">
      <c r="D194" s="16"/>
      <c r="E194" s="16"/>
      <c r="F194" s="16"/>
      <c r="G194" s="16"/>
      <c r="H194" s="16"/>
    </row>
    <row r="195" ht="15.75" customHeight="1">
      <c r="D195" s="16"/>
      <c r="E195" s="16"/>
      <c r="F195" s="16"/>
      <c r="G195" s="16"/>
      <c r="H195" s="16"/>
    </row>
    <row r="196" ht="15.75" customHeight="1">
      <c r="D196" s="16"/>
      <c r="E196" s="16"/>
      <c r="F196" s="16"/>
      <c r="G196" s="16"/>
      <c r="H196" s="16"/>
    </row>
    <row r="197" ht="15.75" customHeight="1">
      <c r="D197" s="16"/>
      <c r="E197" s="16"/>
      <c r="F197" s="16"/>
      <c r="G197" s="16"/>
      <c r="H197" s="16"/>
    </row>
    <row r="198" ht="15.75" customHeight="1">
      <c r="D198" s="16"/>
      <c r="E198" s="16"/>
      <c r="F198" s="16"/>
      <c r="G198" s="16"/>
      <c r="H198" s="16"/>
    </row>
    <row r="199" ht="15.75" customHeight="1">
      <c r="D199" s="16"/>
      <c r="E199" s="16"/>
      <c r="F199" s="16"/>
      <c r="G199" s="16"/>
      <c r="H199" s="16"/>
    </row>
    <row r="200" ht="15.75" customHeight="1">
      <c r="D200" s="16"/>
      <c r="E200" s="16"/>
      <c r="F200" s="16"/>
      <c r="G200" s="16"/>
      <c r="H200" s="16"/>
    </row>
    <row r="201" ht="15.75" customHeight="1">
      <c r="D201" s="16"/>
      <c r="E201" s="16"/>
      <c r="F201" s="16"/>
      <c r="G201" s="16"/>
      <c r="H201" s="16"/>
    </row>
    <row r="202" ht="15.75" customHeight="1">
      <c r="D202" s="16"/>
      <c r="E202" s="16"/>
      <c r="F202" s="16"/>
      <c r="G202" s="16"/>
      <c r="H202" s="16"/>
    </row>
    <row r="203" ht="15.75" customHeight="1">
      <c r="D203" s="16"/>
      <c r="E203" s="16"/>
      <c r="F203" s="16"/>
      <c r="G203" s="16"/>
      <c r="H203" s="16"/>
    </row>
    <row r="204" ht="15.75" customHeight="1">
      <c r="D204" s="16"/>
      <c r="E204" s="16"/>
      <c r="F204" s="16"/>
      <c r="G204" s="16"/>
      <c r="H204" s="16"/>
    </row>
    <row r="205" ht="15.75" customHeight="1">
      <c r="D205" s="16"/>
      <c r="E205" s="16"/>
      <c r="F205" s="16"/>
      <c r="G205" s="16"/>
      <c r="H205" s="16"/>
    </row>
    <row r="206" ht="15.75" customHeight="1">
      <c r="D206" s="16"/>
      <c r="E206" s="16"/>
      <c r="F206" s="16"/>
      <c r="G206" s="16"/>
      <c r="H206" s="16"/>
    </row>
    <row r="207" ht="15.75" customHeight="1">
      <c r="D207" s="16"/>
      <c r="E207" s="16"/>
      <c r="F207" s="16"/>
      <c r="G207" s="16"/>
      <c r="H207" s="16"/>
    </row>
    <row r="208" ht="15.75" customHeight="1">
      <c r="D208" s="16"/>
      <c r="E208" s="16"/>
      <c r="F208" s="16"/>
      <c r="G208" s="16"/>
      <c r="H208" s="16"/>
    </row>
    <row r="209" ht="15.75" customHeight="1">
      <c r="D209" s="16"/>
      <c r="E209" s="16"/>
      <c r="F209" s="16"/>
      <c r="G209" s="16"/>
      <c r="H209" s="16"/>
    </row>
    <row r="210" ht="15.75" customHeight="1">
      <c r="D210" s="16"/>
      <c r="E210" s="16"/>
      <c r="F210" s="16"/>
      <c r="G210" s="16"/>
      <c r="H210" s="16"/>
    </row>
    <row r="211" ht="15.75" customHeight="1">
      <c r="D211" s="16"/>
      <c r="E211" s="16"/>
      <c r="F211" s="16"/>
      <c r="G211" s="16"/>
      <c r="H211" s="16"/>
    </row>
    <row r="212" ht="15.75" customHeight="1">
      <c r="D212" s="16"/>
      <c r="E212" s="16"/>
      <c r="F212" s="16"/>
      <c r="G212" s="16"/>
      <c r="H212" s="16"/>
    </row>
    <row r="213" ht="15.75" customHeight="1">
      <c r="D213" s="16"/>
      <c r="E213" s="16"/>
      <c r="F213" s="16"/>
      <c r="G213" s="16"/>
      <c r="H213" s="16"/>
    </row>
    <row r="214" ht="15.75" customHeight="1">
      <c r="D214" s="16"/>
      <c r="E214" s="16"/>
      <c r="F214" s="16"/>
      <c r="G214" s="16"/>
      <c r="H214" s="16"/>
    </row>
    <row r="215" ht="15.75" customHeight="1">
      <c r="D215" s="16"/>
      <c r="E215" s="16"/>
      <c r="F215" s="16"/>
      <c r="G215" s="16"/>
      <c r="H215" s="16"/>
    </row>
    <row r="216" ht="15.75" customHeight="1">
      <c r="D216" s="16"/>
      <c r="E216" s="16"/>
      <c r="F216" s="16"/>
      <c r="G216" s="16"/>
      <c r="H216" s="16"/>
    </row>
    <row r="217" ht="15.75" customHeight="1">
      <c r="D217" s="16"/>
      <c r="E217" s="16"/>
      <c r="F217" s="16"/>
      <c r="G217" s="16"/>
      <c r="H217" s="16"/>
    </row>
    <row r="218" ht="15.75" customHeight="1">
      <c r="D218" s="16"/>
      <c r="E218" s="16"/>
      <c r="F218" s="16"/>
      <c r="G218" s="16"/>
      <c r="H218" s="16"/>
    </row>
    <row r="219" ht="15.75" customHeight="1">
      <c r="D219" s="16"/>
      <c r="E219" s="16"/>
      <c r="F219" s="16"/>
      <c r="G219" s="16"/>
      <c r="H219" s="16"/>
    </row>
    <row r="220" ht="15.75" customHeight="1">
      <c r="D220" s="16"/>
      <c r="E220" s="16"/>
      <c r="F220" s="16"/>
      <c r="G220" s="16"/>
      <c r="H220" s="16"/>
    </row>
    <row r="221" ht="15.75" customHeight="1">
      <c r="D221" s="16"/>
      <c r="E221" s="16"/>
      <c r="F221" s="16"/>
      <c r="G221" s="16"/>
      <c r="H221" s="16"/>
    </row>
    <row r="222" ht="15.75" customHeight="1">
      <c r="D222" s="16"/>
      <c r="E222" s="16"/>
      <c r="F222" s="16"/>
      <c r="G222" s="16"/>
      <c r="H222" s="16"/>
    </row>
    <row r="223" ht="15.75" customHeight="1">
      <c r="D223" s="16"/>
      <c r="E223" s="16"/>
      <c r="F223" s="16"/>
      <c r="G223" s="16"/>
      <c r="H223" s="16"/>
    </row>
    <row r="224" ht="15.75" customHeight="1">
      <c r="D224" s="16"/>
      <c r="E224" s="16"/>
      <c r="F224" s="16"/>
      <c r="G224" s="16"/>
      <c r="H224" s="16"/>
    </row>
    <row r="225" ht="15.75" customHeight="1">
      <c r="D225" s="16"/>
      <c r="E225" s="16"/>
      <c r="F225" s="16"/>
      <c r="G225" s="16"/>
      <c r="H225" s="16"/>
    </row>
    <row r="226" ht="15.75" customHeight="1">
      <c r="D226" s="16"/>
      <c r="E226" s="16"/>
      <c r="F226" s="16"/>
      <c r="G226" s="16"/>
      <c r="H226" s="16"/>
    </row>
    <row r="227" ht="15.75" customHeight="1">
      <c r="D227" s="16"/>
      <c r="E227" s="16"/>
      <c r="F227" s="16"/>
      <c r="G227" s="16"/>
      <c r="H227" s="16"/>
    </row>
    <row r="228" ht="15.75" customHeight="1">
      <c r="D228" s="16"/>
      <c r="E228" s="16"/>
      <c r="F228" s="16"/>
      <c r="G228" s="16"/>
      <c r="H228" s="16"/>
    </row>
    <row r="229" ht="15.75" customHeight="1">
      <c r="D229" s="16"/>
      <c r="E229" s="16"/>
      <c r="F229" s="16"/>
      <c r="G229" s="16"/>
      <c r="H229" s="16"/>
    </row>
    <row r="230" ht="15.75" customHeight="1">
      <c r="D230" s="16"/>
      <c r="E230" s="16"/>
      <c r="F230" s="16"/>
      <c r="G230" s="16"/>
      <c r="H230" s="16"/>
    </row>
    <row r="231" ht="15.75" customHeight="1">
      <c r="D231" s="16"/>
      <c r="E231" s="16"/>
      <c r="F231" s="16"/>
      <c r="G231" s="16"/>
      <c r="H231" s="16"/>
    </row>
    <row r="232" ht="15.75" customHeight="1">
      <c r="D232" s="16"/>
      <c r="E232" s="16"/>
      <c r="F232" s="16"/>
      <c r="G232" s="16"/>
      <c r="H232" s="16"/>
    </row>
    <row r="233" ht="15.75" customHeight="1">
      <c r="D233" s="16"/>
      <c r="E233" s="16"/>
      <c r="F233" s="16"/>
      <c r="G233" s="16"/>
      <c r="H233" s="16"/>
    </row>
    <row r="234" ht="15.75" customHeight="1">
      <c r="D234" s="16"/>
      <c r="E234" s="16"/>
      <c r="F234" s="16"/>
      <c r="G234" s="16"/>
      <c r="H234" s="16"/>
    </row>
    <row r="235" ht="15.75" customHeight="1">
      <c r="D235" s="16"/>
      <c r="E235" s="16"/>
      <c r="F235" s="16"/>
      <c r="G235" s="16"/>
      <c r="H235" s="16"/>
    </row>
    <row r="236" ht="15.75" customHeight="1">
      <c r="D236" s="16"/>
      <c r="E236" s="16"/>
      <c r="F236" s="16"/>
      <c r="G236" s="16"/>
      <c r="H236" s="16"/>
    </row>
    <row r="237" ht="15.75" customHeight="1">
      <c r="D237" s="16"/>
      <c r="E237" s="16"/>
      <c r="F237" s="16"/>
      <c r="G237" s="16"/>
      <c r="H237" s="16"/>
    </row>
    <row r="238" ht="15.75" customHeight="1">
      <c r="D238" s="16"/>
      <c r="E238" s="16"/>
      <c r="F238" s="16"/>
      <c r="G238" s="16"/>
      <c r="H238" s="16"/>
    </row>
    <row r="239" ht="15.75" customHeight="1">
      <c r="D239" s="16"/>
      <c r="E239" s="16"/>
      <c r="F239" s="16"/>
      <c r="G239" s="16"/>
      <c r="H239" s="16"/>
    </row>
    <row r="240" ht="15.75" customHeight="1">
      <c r="D240" s="16"/>
      <c r="E240" s="16"/>
      <c r="F240" s="16"/>
      <c r="G240" s="16"/>
      <c r="H240" s="16"/>
    </row>
    <row r="241" ht="15.75" customHeight="1">
      <c r="D241" s="16"/>
      <c r="E241" s="16"/>
      <c r="F241" s="16"/>
      <c r="G241" s="16"/>
      <c r="H241" s="16"/>
    </row>
    <row r="242" ht="15.75" customHeight="1">
      <c r="D242" s="16"/>
      <c r="E242" s="16"/>
      <c r="F242" s="16"/>
      <c r="G242" s="16"/>
      <c r="H242" s="16"/>
    </row>
    <row r="243" ht="15.75" customHeight="1">
      <c r="D243" s="16"/>
      <c r="E243" s="16"/>
      <c r="F243" s="16"/>
      <c r="G243" s="16"/>
      <c r="H243" s="16"/>
    </row>
    <row r="244" ht="15.75" customHeight="1">
      <c r="D244" s="16"/>
      <c r="E244" s="16"/>
      <c r="F244" s="16"/>
      <c r="G244" s="16"/>
      <c r="H244" s="16"/>
    </row>
    <row r="245" ht="15.75" customHeight="1">
      <c r="D245" s="16"/>
      <c r="E245" s="16"/>
      <c r="F245" s="16"/>
      <c r="G245" s="16"/>
      <c r="H245" s="16"/>
    </row>
    <row r="246" ht="15.75" customHeight="1">
      <c r="D246" s="16"/>
      <c r="E246" s="16"/>
      <c r="F246" s="16"/>
      <c r="G246" s="16"/>
      <c r="H246" s="16"/>
    </row>
    <row r="247" ht="15.75" customHeight="1">
      <c r="D247" s="16"/>
      <c r="E247" s="16"/>
      <c r="F247" s="16"/>
      <c r="G247" s="16"/>
      <c r="H247" s="16"/>
    </row>
    <row r="248" ht="15.75" customHeight="1">
      <c r="D248" s="16"/>
      <c r="E248" s="16"/>
      <c r="F248" s="16"/>
      <c r="G248" s="16"/>
      <c r="H248" s="16"/>
    </row>
    <row r="249" ht="15.75" customHeight="1">
      <c r="D249" s="16"/>
      <c r="E249" s="16"/>
      <c r="F249" s="16"/>
      <c r="G249" s="16"/>
      <c r="H249" s="16"/>
    </row>
    <row r="250" ht="15.75" customHeight="1">
      <c r="D250" s="16"/>
      <c r="E250" s="16"/>
      <c r="F250" s="16"/>
      <c r="G250" s="16"/>
      <c r="H250" s="16"/>
    </row>
    <row r="251" ht="15.75" customHeight="1">
      <c r="D251" s="16"/>
      <c r="E251" s="16"/>
      <c r="F251" s="16"/>
      <c r="G251" s="16"/>
      <c r="H251" s="16"/>
    </row>
    <row r="252" ht="15.75" customHeight="1">
      <c r="D252" s="16"/>
      <c r="E252" s="16"/>
      <c r="F252" s="16"/>
      <c r="G252" s="16"/>
      <c r="H252" s="16"/>
    </row>
    <row r="253" ht="15.75" customHeight="1">
      <c r="D253" s="16"/>
      <c r="E253" s="16"/>
      <c r="F253" s="16"/>
      <c r="G253" s="16"/>
      <c r="H253" s="16"/>
    </row>
    <row r="254" ht="15.75" customHeight="1">
      <c r="D254" s="16"/>
      <c r="E254" s="16"/>
      <c r="F254" s="16"/>
      <c r="G254" s="16"/>
      <c r="H254" s="16"/>
    </row>
    <row r="255" ht="15.75" customHeight="1">
      <c r="D255" s="16"/>
      <c r="E255" s="16"/>
      <c r="F255" s="16"/>
      <c r="G255" s="16"/>
      <c r="H255" s="16"/>
    </row>
    <row r="256" ht="15.75" customHeight="1">
      <c r="D256" s="16"/>
      <c r="E256" s="16"/>
      <c r="F256" s="16"/>
      <c r="G256" s="16"/>
      <c r="H256" s="16"/>
    </row>
    <row r="257" ht="15.75" customHeight="1">
      <c r="D257" s="16"/>
      <c r="E257" s="16"/>
      <c r="F257" s="16"/>
      <c r="G257" s="16"/>
      <c r="H257" s="16"/>
    </row>
    <row r="258" ht="15.75" customHeight="1">
      <c r="D258" s="16"/>
      <c r="E258" s="16"/>
      <c r="F258" s="16"/>
      <c r="G258" s="16"/>
      <c r="H258" s="16"/>
    </row>
    <row r="259" ht="15.75" customHeight="1">
      <c r="D259" s="16"/>
      <c r="E259" s="16"/>
      <c r="F259" s="16"/>
      <c r="G259" s="16"/>
      <c r="H259" s="16"/>
    </row>
    <row r="260" ht="15.75" customHeight="1">
      <c r="D260" s="16"/>
      <c r="E260" s="16"/>
      <c r="F260" s="16"/>
      <c r="G260" s="16"/>
      <c r="H260" s="16"/>
    </row>
    <row r="261" ht="15.75" customHeight="1">
      <c r="D261" s="16"/>
      <c r="E261" s="16"/>
      <c r="F261" s="16"/>
      <c r="G261" s="16"/>
      <c r="H261" s="16"/>
    </row>
    <row r="262" ht="15.75" customHeight="1">
      <c r="D262" s="16"/>
      <c r="E262" s="16"/>
      <c r="F262" s="16"/>
      <c r="G262" s="16"/>
      <c r="H262" s="16"/>
    </row>
    <row r="263" ht="15.75" customHeight="1">
      <c r="D263" s="16"/>
      <c r="E263" s="16"/>
      <c r="F263" s="16"/>
      <c r="G263" s="16"/>
      <c r="H263" s="16"/>
    </row>
    <row r="264" ht="15.75" customHeight="1">
      <c r="D264" s="16"/>
      <c r="E264" s="16"/>
      <c r="F264" s="16"/>
      <c r="G264" s="16"/>
      <c r="H264" s="16"/>
    </row>
    <row r="265" ht="15.75" customHeight="1">
      <c r="D265" s="16"/>
      <c r="E265" s="16"/>
      <c r="F265" s="16"/>
      <c r="G265" s="16"/>
      <c r="H265" s="16"/>
    </row>
    <row r="266" ht="15.75" customHeight="1">
      <c r="D266" s="16"/>
      <c r="E266" s="16"/>
      <c r="F266" s="16"/>
      <c r="G266" s="16"/>
      <c r="H266" s="16"/>
    </row>
    <row r="267" ht="15.75" customHeight="1">
      <c r="D267" s="16"/>
      <c r="E267" s="16"/>
      <c r="F267" s="16"/>
      <c r="G267" s="16"/>
      <c r="H267" s="16"/>
    </row>
    <row r="268" ht="15.75" customHeight="1">
      <c r="D268" s="16"/>
      <c r="E268" s="16"/>
      <c r="F268" s="16"/>
      <c r="G268" s="16"/>
      <c r="H268" s="16"/>
    </row>
    <row r="269" ht="15.75" customHeight="1">
      <c r="D269" s="16"/>
      <c r="E269" s="16"/>
      <c r="F269" s="16"/>
      <c r="G269" s="16"/>
      <c r="H269" s="16"/>
    </row>
    <row r="270" ht="15.75" customHeight="1">
      <c r="D270" s="16"/>
      <c r="E270" s="16"/>
      <c r="F270" s="16"/>
      <c r="G270" s="16"/>
      <c r="H270" s="16"/>
    </row>
    <row r="271" ht="15.75" customHeight="1">
      <c r="D271" s="16"/>
      <c r="E271" s="16"/>
      <c r="F271" s="16"/>
      <c r="G271" s="16"/>
      <c r="H271" s="16"/>
    </row>
    <row r="272" ht="15.75" customHeight="1">
      <c r="D272" s="16"/>
      <c r="E272" s="16"/>
      <c r="F272" s="16"/>
      <c r="G272" s="16"/>
      <c r="H272" s="16"/>
    </row>
    <row r="273" ht="15.75" customHeight="1">
      <c r="D273" s="16"/>
      <c r="E273" s="16"/>
      <c r="F273" s="16"/>
      <c r="G273" s="16"/>
      <c r="H273" s="16"/>
    </row>
    <row r="274" ht="15.75" customHeight="1">
      <c r="D274" s="16"/>
      <c r="E274" s="16"/>
      <c r="F274" s="16"/>
      <c r="G274" s="16"/>
      <c r="H274" s="16"/>
    </row>
    <row r="275" ht="15.75" customHeight="1">
      <c r="D275" s="16"/>
      <c r="E275" s="16"/>
      <c r="F275" s="16"/>
      <c r="G275" s="16"/>
      <c r="H275" s="16"/>
    </row>
    <row r="276" ht="15.75" customHeight="1">
      <c r="D276" s="16"/>
      <c r="E276" s="16"/>
      <c r="F276" s="16"/>
      <c r="G276" s="16"/>
      <c r="H276" s="16"/>
    </row>
    <row r="277" ht="15.75" customHeight="1">
      <c r="D277" s="16"/>
      <c r="E277" s="16"/>
      <c r="F277" s="16"/>
      <c r="G277" s="16"/>
      <c r="H277" s="16"/>
    </row>
    <row r="278" ht="15.75" customHeight="1">
      <c r="D278" s="16"/>
      <c r="E278" s="16"/>
      <c r="F278" s="16"/>
      <c r="G278" s="16"/>
      <c r="H278" s="16"/>
    </row>
    <row r="279" ht="15.75" customHeight="1">
      <c r="D279" s="16"/>
      <c r="E279" s="16"/>
      <c r="F279" s="16"/>
      <c r="G279" s="16"/>
      <c r="H279" s="16"/>
    </row>
    <row r="280" ht="15.75" customHeight="1">
      <c r="D280" s="16"/>
      <c r="E280" s="16"/>
      <c r="F280" s="16"/>
      <c r="G280" s="16"/>
      <c r="H280" s="16"/>
    </row>
    <row r="281" ht="15.75" customHeight="1">
      <c r="D281" s="16"/>
      <c r="E281" s="16"/>
      <c r="F281" s="16"/>
      <c r="G281" s="16"/>
      <c r="H281" s="16"/>
    </row>
    <row r="282" ht="15.75" customHeight="1">
      <c r="D282" s="16"/>
      <c r="E282" s="16"/>
      <c r="F282" s="16"/>
      <c r="G282" s="16"/>
      <c r="H282" s="16"/>
    </row>
    <row r="283" ht="15.75" customHeight="1">
      <c r="D283" s="16"/>
      <c r="E283" s="16"/>
      <c r="F283" s="16"/>
      <c r="G283" s="16"/>
      <c r="H283" s="16"/>
    </row>
    <row r="284" ht="15.75" customHeight="1">
      <c r="D284" s="16"/>
      <c r="E284" s="16"/>
      <c r="F284" s="16"/>
      <c r="G284" s="16"/>
      <c r="H284" s="16"/>
    </row>
    <row r="285" ht="15.75" customHeight="1">
      <c r="D285" s="16"/>
      <c r="E285" s="16"/>
      <c r="F285" s="16"/>
      <c r="G285" s="16"/>
      <c r="H285" s="16"/>
    </row>
    <row r="286" ht="15.75" customHeight="1">
      <c r="D286" s="16"/>
      <c r="E286" s="16"/>
      <c r="F286" s="16"/>
      <c r="G286" s="16"/>
      <c r="H286" s="16"/>
    </row>
    <row r="287" ht="15.75" customHeight="1">
      <c r="D287" s="16"/>
      <c r="E287" s="16"/>
      <c r="F287" s="16"/>
      <c r="G287" s="16"/>
      <c r="H287" s="16"/>
    </row>
    <row r="288" ht="15.75" customHeight="1">
      <c r="D288" s="16"/>
      <c r="E288" s="16"/>
      <c r="F288" s="16"/>
      <c r="G288" s="16"/>
      <c r="H288" s="16"/>
    </row>
    <row r="289" ht="15.75" customHeight="1">
      <c r="D289" s="16"/>
      <c r="E289" s="16"/>
      <c r="F289" s="16"/>
      <c r="G289" s="16"/>
      <c r="H289" s="16"/>
    </row>
    <row r="290" ht="15.75" customHeight="1">
      <c r="D290" s="16"/>
      <c r="E290" s="16"/>
      <c r="F290" s="16"/>
      <c r="G290" s="16"/>
      <c r="H290" s="16"/>
    </row>
    <row r="291" ht="15.75" customHeight="1">
      <c r="D291" s="16"/>
      <c r="E291" s="16"/>
      <c r="F291" s="16"/>
      <c r="G291" s="16"/>
      <c r="H291" s="16"/>
    </row>
    <row r="292" ht="15.75" customHeight="1">
      <c r="D292" s="16"/>
      <c r="E292" s="16"/>
      <c r="F292" s="16"/>
      <c r="G292" s="16"/>
      <c r="H292" s="16"/>
    </row>
    <row r="293" ht="15.75" customHeight="1">
      <c r="D293" s="16"/>
      <c r="E293" s="16"/>
      <c r="F293" s="16"/>
      <c r="G293" s="16"/>
      <c r="H293" s="16"/>
    </row>
    <row r="294" ht="15.75" customHeight="1">
      <c r="D294" s="16"/>
      <c r="E294" s="16"/>
      <c r="F294" s="16"/>
      <c r="G294" s="16"/>
      <c r="H294" s="16"/>
    </row>
    <row r="295" ht="15.75" customHeight="1">
      <c r="D295" s="16"/>
      <c r="E295" s="16"/>
      <c r="F295" s="16"/>
      <c r="G295" s="16"/>
      <c r="H295" s="16"/>
    </row>
    <row r="296" ht="15.75" customHeight="1">
      <c r="D296" s="16"/>
      <c r="E296" s="16"/>
      <c r="F296" s="16"/>
      <c r="G296" s="16"/>
      <c r="H296" s="16"/>
    </row>
    <row r="297" ht="15.75" customHeight="1">
      <c r="D297" s="16"/>
      <c r="E297" s="16"/>
      <c r="F297" s="16"/>
      <c r="G297" s="16"/>
      <c r="H297" s="16"/>
    </row>
    <row r="298" ht="15.75" customHeight="1">
      <c r="D298" s="16"/>
      <c r="E298" s="16"/>
      <c r="F298" s="16"/>
      <c r="G298" s="16"/>
      <c r="H298" s="16"/>
    </row>
    <row r="299" ht="15.75" customHeight="1">
      <c r="D299" s="16"/>
      <c r="E299" s="16"/>
      <c r="F299" s="16"/>
      <c r="G299" s="16"/>
      <c r="H299" s="16"/>
    </row>
    <row r="300" ht="15.75" customHeight="1">
      <c r="D300" s="16"/>
      <c r="E300" s="16"/>
      <c r="F300" s="16"/>
      <c r="G300" s="16"/>
      <c r="H300" s="16"/>
    </row>
    <row r="301" ht="15.75" customHeight="1">
      <c r="D301" s="16"/>
      <c r="E301" s="16"/>
      <c r="F301" s="16"/>
      <c r="G301" s="16"/>
      <c r="H301" s="16"/>
    </row>
    <row r="302" ht="15.75" customHeight="1">
      <c r="D302" s="16"/>
      <c r="E302" s="16"/>
      <c r="F302" s="16"/>
      <c r="G302" s="16"/>
      <c r="H302" s="16"/>
    </row>
    <row r="303" ht="15.75" customHeight="1">
      <c r="D303" s="16"/>
      <c r="E303" s="16"/>
      <c r="F303" s="16"/>
      <c r="G303" s="16"/>
      <c r="H303" s="16"/>
    </row>
    <row r="304" ht="15.75" customHeight="1">
      <c r="D304" s="16"/>
      <c r="E304" s="16"/>
      <c r="F304" s="16"/>
      <c r="G304" s="16"/>
      <c r="H304" s="16"/>
    </row>
    <row r="305" ht="15.75" customHeight="1">
      <c r="D305" s="16"/>
      <c r="E305" s="16"/>
      <c r="F305" s="16"/>
      <c r="G305" s="16"/>
      <c r="H305" s="16"/>
    </row>
    <row r="306" ht="15.75" customHeight="1">
      <c r="D306" s="16"/>
      <c r="E306" s="16"/>
      <c r="F306" s="16"/>
      <c r="G306" s="16"/>
      <c r="H306" s="16"/>
    </row>
    <row r="307" ht="15.75" customHeight="1">
      <c r="D307" s="16"/>
      <c r="E307" s="16"/>
      <c r="F307" s="16"/>
      <c r="G307" s="16"/>
      <c r="H307" s="16"/>
    </row>
    <row r="308" ht="15.75" customHeight="1">
      <c r="D308" s="16"/>
      <c r="E308" s="16"/>
      <c r="F308" s="16"/>
      <c r="G308" s="16"/>
      <c r="H308" s="16"/>
    </row>
    <row r="309" ht="15.75" customHeight="1">
      <c r="D309" s="16"/>
      <c r="E309" s="16"/>
      <c r="F309" s="16"/>
      <c r="G309" s="16"/>
      <c r="H309" s="16"/>
    </row>
    <row r="310" ht="15.75" customHeight="1">
      <c r="D310" s="16"/>
      <c r="E310" s="16"/>
      <c r="F310" s="16"/>
      <c r="G310" s="16"/>
      <c r="H310" s="16"/>
    </row>
    <row r="311" ht="15.75" customHeight="1">
      <c r="D311" s="16"/>
      <c r="E311" s="16"/>
      <c r="F311" s="16"/>
      <c r="G311" s="16"/>
      <c r="H311" s="16"/>
    </row>
    <row r="312" ht="15.75" customHeight="1">
      <c r="D312" s="16"/>
      <c r="E312" s="16"/>
      <c r="F312" s="16"/>
      <c r="G312" s="16"/>
      <c r="H312" s="16"/>
    </row>
    <row r="313" ht="15.75" customHeight="1">
      <c r="D313" s="16"/>
      <c r="E313" s="16"/>
      <c r="F313" s="16"/>
      <c r="G313" s="16"/>
      <c r="H313" s="16"/>
    </row>
    <row r="314" ht="15.75" customHeight="1">
      <c r="D314" s="16"/>
      <c r="E314" s="16"/>
      <c r="F314" s="16"/>
      <c r="G314" s="16"/>
      <c r="H314" s="16"/>
    </row>
    <row r="315" ht="15.75" customHeight="1">
      <c r="D315" s="16"/>
      <c r="E315" s="16"/>
      <c r="F315" s="16"/>
      <c r="G315" s="16"/>
      <c r="H315" s="16"/>
    </row>
    <row r="316" ht="15.75" customHeight="1">
      <c r="D316" s="16"/>
      <c r="E316" s="16"/>
      <c r="F316" s="16"/>
      <c r="G316" s="16"/>
      <c r="H316" s="16"/>
    </row>
    <row r="317" ht="15.75" customHeight="1">
      <c r="D317" s="16"/>
      <c r="E317" s="16"/>
      <c r="F317" s="16"/>
      <c r="G317" s="16"/>
      <c r="H317" s="16"/>
    </row>
    <row r="318" ht="15.75" customHeight="1">
      <c r="D318" s="16"/>
      <c r="E318" s="16"/>
      <c r="F318" s="16"/>
      <c r="G318" s="16"/>
      <c r="H318" s="16"/>
    </row>
    <row r="319" ht="15.75" customHeight="1">
      <c r="D319" s="16"/>
      <c r="E319" s="16"/>
      <c r="F319" s="16"/>
      <c r="G319" s="16"/>
      <c r="H319" s="16"/>
    </row>
    <row r="320" ht="15.75" customHeight="1">
      <c r="D320" s="16"/>
      <c r="E320" s="16"/>
      <c r="F320" s="16"/>
      <c r="G320" s="16"/>
      <c r="H320" s="16"/>
    </row>
    <row r="321" ht="15.75" customHeight="1">
      <c r="D321" s="16"/>
      <c r="E321" s="16"/>
      <c r="F321" s="16"/>
      <c r="G321" s="16"/>
      <c r="H321" s="16"/>
    </row>
    <row r="322" ht="15.75" customHeight="1">
      <c r="D322" s="16"/>
      <c r="E322" s="16"/>
      <c r="F322" s="16"/>
      <c r="G322" s="16"/>
      <c r="H322" s="16"/>
    </row>
    <row r="323" ht="15.75" customHeight="1">
      <c r="D323" s="16"/>
      <c r="E323" s="16"/>
      <c r="F323" s="16"/>
      <c r="G323" s="16"/>
      <c r="H323" s="16"/>
    </row>
    <row r="324" ht="15.75" customHeight="1">
      <c r="D324" s="16"/>
      <c r="E324" s="16"/>
      <c r="F324" s="16"/>
      <c r="G324" s="16"/>
      <c r="H324" s="16"/>
    </row>
    <row r="325" ht="15.75" customHeight="1">
      <c r="D325" s="16"/>
      <c r="E325" s="16"/>
      <c r="F325" s="16"/>
      <c r="G325" s="16"/>
      <c r="H325" s="16"/>
    </row>
    <row r="326" ht="15.75" customHeight="1">
      <c r="D326" s="16"/>
      <c r="E326" s="16"/>
      <c r="F326" s="16"/>
      <c r="G326" s="16"/>
      <c r="H326" s="16"/>
    </row>
    <row r="327" ht="15.75" customHeight="1">
      <c r="D327" s="16"/>
      <c r="E327" s="16"/>
      <c r="F327" s="16"/>
      <c r="G327" s="16"/>
      <c r="H327" s="16"/>
    </row>
    <row r="328" ht="15.75" customHeight="1">
      <c r="D328" s="16"/>
      <c r="E328" s="16"/>
      <c r="F328" s="16"/>
      <c r="G328" s="16"/>
      <c r="H328" s="16"/>
    </row>
    <row r="329" ht="15.75" customHeight="1">
      <c r="D329" s="16"/>
      <c r="E329" s="16"/>
      <c r="F329" s="16"/>
      <c r="G329" s="16"/>
      <c r="H329" s="16"/>
    </row>
    <row r="330" ht="15.75" customHeight="1">
      <c r="D330" s="16"/>
      <c r="E330" s="16"/>
      <c r="F330" s="16"/>
      <c r="G330" s="16"/>
      <c r="H330" s="16"/>
    </row>
    <row r="331" ht="15.75" customHeight="1">
      <c r="D331" s="16"/>
      <c r="E331" s="16"/>
      <c r="F331" s="16"/>
      <c r="G331" s="16"/>
      <c r="H331" s="16"/>
    </row>
    <row r="332" ht="15.75" customHeight="1">
      <c r="D332" s="16"/>
      <c r="E332" s="16"/>
      <c r="F332" s="16"/>
      <c r="G332" s="16"/>
      <c r="H332" s="16"/>
    </row>
    <row r="333" ht="15.75" customHeight="1">
      <c r="D333" s="16"/>
      <c r="E333" s="16"/>
      <c r="F333" s="16"/>
      <c r="G333" s="16"/>
      <c r="H333" s="16"/>
    </row>
    <row r="334" ht="15.75" customHeight="1">
      <c r="D334" s="16"/>
      <c r="E334" s="16"/>
      <c r="F334" s="16"/>
      <c r="G334" s="16"/>
      <c r="H334" s="16"/>
    </row>
    <row r="335" ht="15.75" customHeight="1">
      <c r="D335" s="16"/>
      <c r="E335" s="16"/>
      <c r="F335" s="16"/>
      <c r="G335" s="16"/>
      <c r="H335" s="16"/>
    </row>
    <row r="336" ht="15.75" customHeight="1">
      <c r="D336" s="16"/>
      <c r="E336" s="16"/>
      <c r="F336" s="16"/>
      <c r="G336" s="16"/>
      <c r="H336" s="16"/>
    </row>
    <row r="337" ht="15.75" customHeight="1">
      <c r="D337" s="16"/>
      <c r="E337" s="16"/>
      <c r="F337" s="16"/>
      <c r="G337" s="16"/>
      <c r="H337" s="16"/>
    </row>
    <row r="338" ht="15.75" customHeight="1">
      <c r="D338" s="16"/>
      <c r="E338" s="16"/>
      <c r="F338" s="16"/>
      <c r="G338" s="16"/>
      <c r="H338" s="16"/>
    </row>
    <row r="339" ht="15.75" customHeight="1">
      <c r="D339" s="16"/>
      <c r="E339" s="16"/>
      <c r="F339" s="16"/>
      <c r="G339" s="16"/>
      <c r="H339" s="16"/>
    </row>
    <row r="340" ht="15.75" customHeight="1">
      <c r="D340" s="16"/>
      <c r="E340" s="16"/>
      <c r="F340" s="16"/>
      <c r="G340" s="16"/>
      <c r="H340" s="16"/>
    </row>
    <row r="341" ht="15.75" customHeight="1">
      <c r="D341" s="16"/>
      <c r="E341" s="16"/>
      <c r="F341" s="16"/>
      <c r="G341" s="16"/>
      <c r="H341" s="16"/>
    </row>
    <row r="342" ht="15.75" customHeight="1">
      <c r="D342" s="16"/>
      <c r="E342" s="16"/>
      <c r="F342" s="16"/>
      <c r="G342" s="16"/>
      <c r="H342" s="16"/>
    </row>
    <row r="343" ht="15.75" customHeight="1">
      <c r="D343" s="16"/>
      <c r="E343" s="16"/>
      <c r="F343" s="16"/>
      <c r="G343" s="16"/>
      <c r="H343" s="16"/>
    </row>
    <row r="344" ht="15.75" customHeight="1">
      <c r="D344" s="16"/>
      <c r="E344" s="16"/>
      <c r="F344" s="16"/>
      <c r="G344" s="16"/>
      <c r="H344" s="16"/>
    </row>
    <row r="345" ht="15.75" customHeight="1">
      <c r="D345" s="16"/>
      <c r="E345" s="16"/>
      <c r="F345" s="16"/>
      <c r="G345" s="16"/>
      <c r="H345" s="16"/>
    </row>
    <row r="346" ht="15.75" customHeight="1">
      <c r="D346" s="16"/>
      <c r="E346" s="16"/>
      <c r="F346" s="16"/>
      <c r="G346" s="16"/>
      <c r="H346" s="16"/>
    </row>
    <row r="347" ht="15.75" customHeight="1">
      <c r="D347" s="16"/>
      <c r="E347" s="16"/>
      <c r="F347" s="16"/>
      <c r="G347" s="16"/>
      <c r="H347" s="16"/>
    </row>
    <row r="348" ht="15.75" customHeight="1">
      <c r="D348" s="16"/>
      <c r="E348" s="16"/>
      <c r="F348" s="16"/>
      <c r="G348" s="16"/>
      <c r="H348" s="16"/>
    </row>
    <row r="349" ht="15.75" customHeight="1">
      <c r="D349" s="16"/>
      <c r="E349" s="16"/>
      <c r="F349" s="16"/>
      <c r="G349" s="16"/>
      <c r="H349" s="16"/>
    </row>
    <row r="350" ht="15.75" customHeight="1">
      <c r="D350" s="16"/>
      <c r="E350" s="16"/>
      <c r="F350" s="16"/>
      <c r="G350" s="16"/>
      <c r="H350" s="16"/>
    </row>
    <row r="351" ht="15.75" customHeight="1">
      <c r="D351" s="16"/>
      <c r="E351" s="16"/>
      <c r="F351" s="16"/>
      <c r="G351" s="16"/>
      <c r="H351" s="16"/>
    </row>
    <row r="352" ht="15.75" customHeight="1">
      <c r="D352" s="16"/>
      <c r="E352" s="16"/>
      <c r="F352" s="16"/>
      <c r="G352" s="16"/>
      <c r="H352" s="16"/>
    </row>
    <row r="353" ht="15.75" customHeight="1">
      <c r="D353" s="16"/>
      <c r="E353" s="16"/>
      <c r="F353" s="16"/>
      <c r="G353" s="16"/>
      <c r="H353" s="16"/>
    </row>
    <row r="354" ht="15.75" customHeight="1">
      <c r="D354" s="16"/>
      <c r="E354" s="16"/>
      <c r="F354" s="16"/>
      <c r="G354" s="16"/>
      <c r="H354" s="16"/>
    </row>
    <row r="355" ht="15.75" customHeight="1">
      <c r="D355" s="16"/>
      <c r="E355" s="16"/>
      <c r="F355" s="16"/>
      <c r="G355" s="16"/>
      <c r="H355" s="16"/>
    </row>
    <row r="356" ht="15.75" customHeight="1">
      <c r="D356" s="16"/>
      <c r="E356" s="16"/>
      <c r="F356" s="16"/>
      <c r="G356" s="16"/>
      <c r="H356" s="16"/>
    </row>
    <row r="357" ht="15.75" customHeight="1">
      <c r="D357" s="16"/>
      <c r="E357" s="16"/>
      <c r="F357" s="16"/>
      <c r="G357" s="16"/>
      <c r="H357" s="16"/>
    </row>
    <row r="358" ht="15.75" customHeight="1">
      <c r="D358" s="16"/>
      <c r="E358" s="16"/>
      <c r="F358" s="16"/>
      <c r="G358" s="16"/>
      <c r="H358" s="16"/>
    </row>
    <row r="359" ht="15.75" customHeight="1">
      <c r="D359" s="16"/>
      <c r="E359" s="16"/>
      <c r="F359" s="16"/>
      <c r="G359" s="16"/>
      <c r="H359" s="16"/>
    </row>
    <row r="360" ht="15.75" customHeight="1">
      <c r="D360" s="16"/>
      <c r="E360" s="16"/>
      <c r="F360" s="16"/>
      <c r="G360" s="16"/>
      <c r="H360" s="16"/>
    </row>
    <row r="361" ht="15.75" customHeight="1">
      <c r="D361" s="16"/>
      <c r="E361" s="16"/>
      <c r="F361" s="16"/>
      <c r="G361" s="16"/>
      <c r="H361" s="16"/>
    </row>
    <row r="362" ht="15.75" customHeight="1">
      <c r="D362" s="16"/>
      <c r="E362" s="16"/>
      <c r="F362" s="16"/>
      <c r="G362" s="16"/>
      <c r="H362" s="16"/>
    </row>
    <row r="363" ht="15.75" customHeight="1">
      <c r="D363" s="16"/>
      <c r="E363" s="16"/>
      <c r="F363" s="16"/>
      <c r="G363" s="16"/>
      <c r="H363" s="16"/>
    </row>
    <row r="364" ht="15.75" customHeight="1">
      <c r="D364" s="16"/>
      <c r="E364" s="16"/>
      <c r="F364" s="16"/>
      <c r="G364" s="16"/>
      <c r="H364" s="16"/>
    </row>
    <row r="365" ht="15.75" customHeight="1">
      <c r="D365" s="16"/>
      <c r="E365" s="16"/>
      <c r="F365" s="16"/>
      <c r="G365" s="16"/>
      <c r="H365" s="16"/>
    </row>
    <row r="366" ht="15.75" customHeight="1">
      <c r="D366" s="16"/>
      <c r="E366" s="16"/>
      <c r="F366" s="16"/>
      <c r="G366" s="16"/>
      <c r="H366" s="16"/>
    </row>
    <row r="367" ht="15.75" customHeight="1">
      <c r="D367" s="16"/>
      <c r="E367" s="16"/>
      <c r="F367" s="16"/>
      <c r="G367" s="16"/>
      <c r="H367" s="16"/>
    </row>
    <row r="368" ht="15.75" customHeight="1">
      <c r="D368" s="16"/>
      <c r="E368" s="16"/>
      <c r="F368" s="16"/>
      <c r="G368" s="16"/>
      <c r="H368" s="16"/>
    </row>
    <row r="369" ht="15.75" customHeight="1">
      <c r="D369" s="16"/>
      <c r="E369" s="16"/>
      <c r="F369" s="16"/>
      <c r="G369" s="16"/>
      <c r="H369" s="16"/>
    </row>
    <row r="370" ht="15.75" customHeight="1">
      <c r="D370" s="16"/>
      <c r="E370" s="16"/>
      <c r="F370" s="16"/>
      <c r="G370" s="16"/>
      <c r="H370" s="16"/>
    </row>
    <row r="371" ht="15.75" customHeight="1">
      <c r="D371" s="16"/>
      <c r="E371" s="16"/>
      <c r="F371" s="16"/>
      <c r="G371" s="16"/>
      <c r="H371" s="16"/>
    </row>
    <row r="372" ht="15.75" customHeight="1">
      <c r="D372" s="16"/>
      <c r="E372" s="16"/>
      <c r="F372" s="16"/>
      <c r="G372" s="16"/>
      <c r="H372" s="16"/>
    </row>
    <row r="373" ht="15.75" customHeight="1">
      <c r="D373" s="16"/>
      <c r="E373" s="16"/>
      <c r="F373" s="16"/>
      <c r="G373" s="16"/>
      <c r="H373" s="16"/>
    </row>
    <row r="374" ht="15.75" customHeight="1">
      <c r="D374" s="16"/>
      <c r="E374" s="16"/>
      <c r="F374" s="16"/>
      <c r="G374" s="16"/>
      <c r="H374" s="16"/>
    </row>
    <row r="375" ht="15.75" customHeight="1">
      <c r="D375" s="16"/>
      <c r="E375" s="16"/>
      <c r="F375" s="16"/>
      <c r="G375" s="16"/>
      <c r="H375" s="16"/>
    </row>
    <row r="376" ht="15.75" customHeight="1">
      <c r="D376" s="16"/>
      <c r="E376" s="16"/>
      <c r="F376" s="16"/>
      <c r="G376" s="16"/>
      <c r="H376" s="16"/>
    </row>
    <row r="377" ht="15.75" customHeight="1">
      <c r="D377" s="16"/>
      <c r="E377" s="16"/>
      <c r="F377" s="16"/>
      <c r="G377" s="16"/>
      <c r="H377" s="16"/>
    </row>
    <row r="378" ht="15.75" customHeight="1">
      <c r="D378" s="16"/>
      <c r="E378" s="16"/>
      <c r="F378" s="16"/>
      <c r="G378" s="16"/>
      <c r="H378" s="16"/>
    </row>
    <row r="379" ht="15.75" customHeight="1">
      <c r="D379" s="16"/>
      <c r="E379" s="16"/>
      <c r="F379" s="16"/>
      <c r="G379" s="16"/>
      <c r="H379" s="16"/>
    </row>
    <row r="380" ht="15.75" customHeight="1">
      <c r="D380" s="16"/>
      <c r="E380" s="16"/>
      <c r="F380" s="16"/>
      <c r="G380" s="16"/>
      <c r="H380" s="16"/>
    </row>
    <row r="381" ht="15.75" customHeight="1">
      <c r="D381" s="16"/>
      <c r="E381" s="16"/>
      <c r="F381" s="16"/>
      <c r="G381" s="16"/>
      <c r="H381" s="16"/>
    </row>
    <row r="382" ht="15.75" customHeight="1">
      <c r="D382" s="16"/>
      <c r="E382" s="16"/>
      <c r="F382" s="16"/>
      <c r="G382" s="16"/>
      <c r="H382" s="16"/>
    </row>
    <row r="383" ht="15.75" customHeight="1">
      <c r="D383" s="16"/>
      <c r="E383" s="16"/>
      <c r="F383" s="16"/>
      <c r="G383" s="16"/>
      <c r="H383" s="16"/>
    </row>
    <row r="384" ht="15.75" customHeight="1">
      <c r="D384" s="16"/>
      <c r="E384" s="16"/>
      <c r="F384" s="16"/>
      <c r="G384" s="16"/>
      <c r="H384" s="16"/>
    </row>
    <row r="385" ht="15.75" customHeight="1">
      <c r="D385" s="16"/>
      <c r="E385" s="16"/>
      <c r="F385" s="16"/>
      <c r="G385" s="16"/>
      <c r="H385" s="16"/>
    </row>
    <row r="386" ht="15.75" customHeight="1">
      <c r="D386" s="16"/>
      <c r="E386" s="16"/>
      <c r="F386" s="16"/>
      <c r="G386" s="16"/>
      <c r="H386" s="16"/>
    </row>
    <row r="387" ht="15.75" customHeight="1">
      <c r="D387" s="16"/>
      <c r="E387" s="16"/>
      <c r="F387" s="16"/>
      <c r="G387" s="16"/>
      <c r="H387" s="16"/>
    </row>
    <row r="388" ht="15.75" customHeight="1">
      <c r="D388" s="16"/>
      <c r="E388" s="16"/>
      <c r="F388" s="16"/>
      <c r="G388" s="16"/>
      <c r="H388" s="16"/>
    </row>
    <row r="389" ht="15.75" customHeight="1">
      <c r="D389" s="16"/>
      <c r="E389" s="16"/>
      <c r="F389" s="16"/>
      <c r="G389" s="16"/>
      <c r="H389" s="16"/>
    </row>
    <row r="390" ht="15.75" customHeight="1">
      <c r="D390" s="16"/>
      <c r="E390" s="16"/>
      <c r="F390" s="16"/>
      <c r="G390" s="16"/>
      <c r="H390" s="16"/>
    </row>
    <row r="391" ht="15.75" customHeight="1">
      <c r="D391" s="16"/>
      <c r="E391" s="16"/>
      <c r="F391" s="16"/>
      <c r="G391" s="16"/>
      <c r="H391" s="16"/>
    </row>
    <row r="392" ht="15.75" customHeight="1">
      <c r="D392" s="16"/>
      <c r="E392" s="16"/>
      <c r="F392" s="16"/>
      <c r="G392" s="16"/>
      <c r="H392" s="16"/>
    </row>
    <row r="393" ht="15.75" customHeight="1">
      <c r="D393" s="16"/>
      <c r="E393" s="16"/>
      <c r="F393" s="16"/>
      <c r="G393" s="16"/>
      <c r="H393" s="16"/>
    </row>
    <row r="394" ht="15.75" customHeight="1">
      <c r="D394" s="16"/>
      <c r="E394" s="16"/>
      <c r="F394" s="16"/>
      <c r="G394" s="16"/>
      <c r="H394" s="16"/>
    </row>
    <row r="395" ht="15.75" customHeight="1">
      <c r="D395" s="16"/>
      <c r="E395" s="16"/>
      <c r="F395" s="16"/>
      <c r="G395" s="16"/>
      <c r="H395" s="16"/>
    </row>
    <row r="396" ht="15.75" customHeight="1">
      <c r="D396" s="16"/>
      <c r="E396" s="16"/>
      <c r="F396" s="16"/>
      <c r="G396" s="16"/>
      <c r="H396" s="16"/>
    </row>
    <row r="397" ht="15.75" customHeight="1">
      <c r="D397" s="16"/>
      <c r="E397" s="16"/>
      <c r="F397" s="16"/>
      <c r="G397" s="16"/>
      <c r="H397" s="16"/>
    </row>
    <row r="398" ht="15.75" customHeight="1">
      <c r="D398" s="16"/>
      <c r="E398" s="16"/>
      <c r="F398" s="16"/>
      <c r="G398" s="16"/>
      <c r="H398" s="16"/>
    </row>
    <row r="399" ht="15.75" customHeight="1">
      <c r="D399" s="16"/>
      <c r="E399" s="16"/>
      <c r="F399" s="16"/>
      <c r="G399" s="16"/>
      <c r="H399" s="16"/>
    </row>
    <row r="400" ht="15.75" customHeight="1">
      <c r="D400" s="16"/>
      <c r="E400" s="16"/>
      <c r="F400" s="16"/>
      <c r="G400" s="16"/>
      <c r="H400" s="16"/>
    </row>
    <row r="401" ht="15.75" customHeight="1">
      <c r="D401" s="16"/>
      <c r="E401" s="16"/>
      <c r="F401" s="16"/>
      <c r="G401" s="16"/>
      <c r="H401" s="16"/>
    </row>
    <row r="402" ht="15.75" customHeight="1">
      <c r="D402" s="16"/>
      <c r="E402" s="16"/>
      <c r="F402" s="16"/>
      <c r="G402" s="16"/>
      <c r="H402" s="16"/>
    </row>
    <row r="403" ht="15.75" customHeight="1">
      <c r="D403" s="16"/>
      <c r="E403" s="16"/>
      <c r="F403" s="16"/>
      <c r="G403" s="16"/>
      <c r="H403" s="16"/>
    </row>
    <row r="404" ht="15.75" customHeight="1">
      <c r="D404" s="16"/>
      <c r="E404" s="16"/>
      <c r="F404" s="16"/>
      <c r="G404" s="16"/>
      <c r="H404" s="16"/>
    </row>
    <row r="405" ht="15.75" customHeight="1">
      <c r="D405" s="16"/>
      <c r="E405" s="16"/>
      <c r="F405" s="16"/>
      <c r="G405" s="16"/>
      <c r="H405" s="16"/>
    </row>
    <row r="406" ht="15.75" customHeight="1">
      <c r="D406" s="16"/>
      <c r="E406" s="16"/>
      <c r="F406" s="16"/>
      <c r="G406" s="16"/>
      <c r="H406" s="16"/>
    </row>
    <row r="407" ht="15.75" customHeight="1">
      <c r="D407" s="16"/>
      <c r="E407" s="16"/>
      <c r="F407" s="16"/>
      <c r="G407" s="16"/>
      <c r="H407" s="16"/>
    </row>
    <row r="408" ht="15.75" customHeight="1">
      <c r="D408" s="16"/>
      <c r="E408" s="16"/>
      <c r="F408" s="16"/>
      <c r="G408" s="16"/>
      <c r="H408" s="16"/>
    </row>
    <row r="409" ht="15.75" customHeight="1">
      <c r="D409" s="16"/>
      <c r="E409" s="16"/>
      <c r="F409" s="16"/>
      <c r="G409" s="16"/>
      <c r="H409" s="16"/>
    </row>
    <row r="410" ht="15.75" customHeight="1">
      <c r="D410" s="16"/>
      <c r="E410" s="16"/>
      <c r="F410" s="16"/>
      <c r="G410" s="16"/>
      <c r="H410" s="16"/>
    </row>
    <row r="411" ht="15.75" customHeight="1">
      <c r="D411" s="16"/>
      <c r="E411" s="16"/>
      <c r="F411" s="16"/>
      <c r="G411" s="16"/>
      <c r="H411" s="16"/>
    </row>
    <row r="412" ht="15.75" customHeight="1">
      <c r="D412" s="16"/>
      <c r="E412" s="16"/>
      <c r="F412" s="16"/>
      <c r="G412" s="16"/>
      <c r="H412" s="16"/>
    </row>
    <row r="413" ht="15.75" customHeight="1">
      <c r="D413" s="16"/>
      <c r="E413" s="16"/>
      <c r="F413" s="16"/>
      <c r="G413" s="16"/>
      <c r="H413" s="16"/>
    </row>
    <row r="414" ht="15.75" customHeight="1">
      <c r="D414" s="16"/>
      <c r="E414" s="16"/>
      <c r="F414" s="16"/>
      <c r="G414" s="16"/>
      <c r="H414" s="16"/>
    </row>
    <row r="415" ht="15.75" customHeight="1">
      <c r="D415" s="16"/>
      <c r="E415" s="16"/>
      <c r="F415" s="16"/>
      <c r="G415" s="16"/>
      <c r="H415" s="16"/>
    </row>
    <row r="416" ht="15.75" customHeight="1">
      <c r="D416" s="16"/>
      <c r="E416" s="16"/>
      <c r="F416" s="16"/>
      <c r="G416" s="16"/>
      <c r="H416" s="16"/>
    </row>
    <row r="417" ht="15.75" customHeight="1">
      <c r="D417" s="16"/>
      <c r="E417" s="16"/>
      <c r="F417" s="16"/>
      <c r="G417" s="16"/>
      <c r="H417" s="16"/>
    </row>
    <row r="418" ht="15.75" customHeight="1">
      <c r="D418" s="16"/>
      <c r="E418" s="16"/>
      <c r="F418" s="16"/>
      <c r="G418" s="16"/>
      <c r="H418" s="16"/>
    </row>
    <row r="419" ht="15.75" customHeight="1">
      <c r="D419" s="16"/>
      <c r="E419" s="16"/>
      <c r="F419" s="16"/>
      <c r="G419" s="16"/>
      <c r="H419" s="16"/>
    </row>
    <row r="420" ht="15.75" customHeight="1">
      <c r="D420" s="16"/>
      <c r="E420" s="16"/>
      <c r="F420" s="16"/>
      <c r="G420" s="16"/>
      <c r="H420" s="16"/>
    </row>
    <row r="421" ht="15.75" customHeight="1">
      <c r="D421" s="16"/>
      <c r="E421" s="16"/>
      <c r="F421" s="16"/>
      <c r="G421" s="16"/>
      <c r="H421" s="16"/>
    </row>
    <row r="422" ht="15.75" customHeight="1">
      <c r="D422" s="16"/>
      <c r="E422" s="16"/>
      <c r="F422" s="16"/>
      <c r="G422" s="16"/>
      <c r="H422" s="16"/>
    </row>
    <row r="423" ht="15.75" customHeight="1">
      <c r="D423" s="16"/>
      <c r="E423" s="16"/>
      <c r="F423" s="16"/>
      <c r="G423" s="16"/>
      <c r="H423" s="16"/>
    </row>
    <row r="424" ht="15.75" customHeight="1">
      <c r="D424" s="16"/>
      <c r="E424" s="16"/>
      <c r="F424" s="16"/>
      <c r="G424" s="16"/>
      <c r="H424" s="16"/>
    </row>
    <row r="425" ht="15.75" customHeight="1">
      <c r="D425" s="16"/>
      <c r="E425" s="16"/>
      <c r="F425" s="16"/>
      <c r="G425" s="16"/>
      <c r="H425" s="16"/>
    </row>
    <row r="426" ht="15.75" customHeight="1">
      <c r="D426" s="16"/>
      <c r="E426" s="16"/>
      <c r="F426" s="16"/>
      <c r="G426" s="16"/>
      <c r="H426" s="16"/>
    </row>
    <row r="427" ht="15.75" customHeight="1">
      <c r="D427" s="16"/>
      <c r="E427" s="16"/>
      <c r="F427" s="16"/>
      <c r="G427" s="16"/>
      <c r="H427" s="16"/>
    </row>
    <row r="428" ht="15.75" customHeight="1">
      <c r="D428" s="16"/>
      <c r="E428" s="16"/>
      <c r="F428" s="16"/>
      <c r="G428" s="16"/>
      <c r="H428" s="16"/>
    </row>
    <row r="429" ht="15.75" customHeight="1">
      <c r="D429" s="16"/>
      <c r="E429" s="16"/>
      <c r="F429" s="16"/>
      <c r="G429" s="16"/>
      <c r="H429" s="16"/>
    </row>
    <row r="430" ht="15.75" customHeight="1">
      <c r="D430" s="16"/>
      <c r="E430" s="16"/>
      <c r="F430" s="16"/>
      <c r="G430" s="16"/>
      <c r="H430" s="16"/>
    </row>
    <row r="431" ht="15.75" customHeight="1">
      <c r="D431" s="16"/>
      <c r="E431" s="16"/>
      <c r="F431" s="16"/>
      <c r="G431" s="16"/>
      <c r="H431" s="16"/>
    </row>
    <row r="432" ht="15.75" customHeight="1">
      <c r="D432" s="16"/>
      <c r="E432" s="16"/>
      <c r="F432" s="16"/>
      <c r="G432" s="16"/>
      <c r="H432" s="16"/>
    </row>
    <row r="433" ht="15.75" customHeight="1">
      <c r="D433" s="16"/>
      <c r="E433" s="16"/>
      <c r="F433" s="16"/>
      <c r="G433" s="16"/>
      <c r="H433" s="16"/>
    </row>
    <row r="434" ht="15.75" customHeight="1">
      <c r="D434" s="16"/>
      <c r="E434" s="16"/>
      <c r="F434" s="16"/>
      <c r="G434" s="16"/>
      <c r="H434" s="16"/>
    </row>
    <row r="435" ht="15.75" customHeight="1">
      <c r="D435" s="16"/>
      <c r="E435" s="16"/>
      <c r="F435" s="16"/>
      <c r="G435" s="16"/>
      <c r="H435" s="16"/>
    </row>
    <row r="436" ht="15.75" customHeight="1">
      <c r="D436" s="16"/>
      <c r="E436" s="16"/>
      <c r="F436" s="16"/>
      <c r="G436" s="16"/>
      <c r="H436" s="16"/>
    </row>
    <row r="437" ht="15.75" customHeight="1">
      <c r="D437" s="16"/>
      <c r="E437" s="16"/>
      <c r="F437" s="16"/>
      <c r="G437" s="16"/>
      <c r="H437" s="16"/>
    </row>
    <row r="438" ht="15.75" customHeight="1">
      <c r="D438" s="16"/>
      <c r="E438" s="16"/>
      <c r="F438" s="16"/>
      <c r="G438" s="16"/>
      <c r="H438" s="16"/>
    </row>
    <row r="439" ht="15.75" customHeight="1">
      <c r="D439" s="16"/>
      <c r="E439" s="16"/>
      <c r="F439" s="16"/>
      <c r="G439" s="16"/>
      <c r="H439" s="16"/>
    </row>
    <row r="440" ht="15.75" customHeight="1">
      <c r="D440" s="16"/>
      <c r="E440" s="16"/>
      <c r="F440" s="16"/>
      <c r="G440" s="16"/>
      <c r="H440" s="16"/>
    </row>
    <row r="441" ht="15.75" customHeight="1">
      <c r="D441" s="16"/>
      <c r="E441" s="16"/>
      <c r="F441" s="16"/>
      <c r="G441" s="16"/>
      <c r="H441" s="16"/>
    </row>
    <row r="442" ht="15.75" customHeight="1">
      <c r="D442" s="16"/>
      <c r="E442" s="16"/>
      <c r="F442" s="16"/>
      <c r="G442" s="16"/>
      <c r="H442" s="16"/>
    </row>
    <row r="443" ht="15.75" customHeight="1">
      <c r="D443" s="16"/>
      <c r="E443" s="16"/>
      <c r="F443" s="16"/>
      <c r="G443" s="16"/>
      <c r="H443" s="16"/>
    </row>
    <row r="444" ht="15.75" customHeight="1">
      <c r="D444" s="16"/>
      <c r="E444" s="16"/>
      <c r="F444" s="16"/>
      <c r="G444" s="16"/>
      <c r="H444" s="16"/>
    </row>
    <row r="445" ht="15.75" customHeight="1">
      <c r="D445" s="16"/>
      <c r="E445" s="16"/>
      <c r="F445" s="16"/>
      <c r="G445" s="16"/>
      <c r="H445" s="16"/>
    </row>
    <row r="446" ht="15.75" customHeight="1">
      <c r="D446" s="16"/>
      <c r="E446" s="16"/>
      <c r="F446" s="16"/>
      <c r="G446" s="16"/>
      <c r="H446" s="16"/>
    </row>
    <row r="447" ht="15.75" customHeight="1">
      <c r="D447" s="16"/>
      <c r="E447" s="16"/>
      <c r="F447" s="16"/>
      <c r="G447" s="16"/>
      <c r="H447" s="16"/>
    </row>
    <row r="448" ht="15.75" customHeight="1">
      <c r="D448" s="16"/>
      <c r="E448" s="16"/>
      <c r="F448" s="16"/>
      <c r="G448" s="16"/>
      <c r="H448" s="16"/>
    </row>
    <row r="449" ht="15.75" customHeight="1">
      <c r="D449" s="16"/>
      <c r="E449" s="16"/>
      <c r="F449" s="16"/>
      <c r="G449" s="16"/>
      <c r="H449" s="16"/>
    </row>
    <row r="450" ht="15.75" customHeight="1">
      <c r="D450" s="16"/>
      <c r="E450" s="16"/>
      <c r="F450" s="16"/>
      <c r="G450" s="16"/>
      <c r="H450" s="16"/>
    </row>
    <row r="451" ht="15.75" customHeight="1">
      <c r="D451" s="16"/>
      <c r="E451" s="16"/>
      <c r="F451" s="16"/>
      <c r="G451" s="16"/>
      <c r="H451" s="16"/>
    </row>
    <row r="452" ht="15.75" customHeight="1">
      <c r="D452" s="16"/>
      <c r="E452" s="16"/>
      <c r="F452" s="16"/>
      <c r="G452" s="16"/>
      <c r="H452" s="16"/>
    </row>
    <row r="453" ht="15.75" customHeight="1">
      <c r="D453" s="16"/>
      <c r="E453" s="16"/>
      <c r="F453" s="16"/>
      <c r="G453" s="16"/>
      <c r="H453" s="16"/>
    </row>
    <row r="454" ht="15.75" customHeight="1">
      <c r="D454" s="16"/>
      <c r="E454" s="16"/>
      <c r="F454" s="16"/>
      <c r="G454" s="16"/>
      <c r="H454" s="16"/>
    </row>
    <row r="455" ht="15.75" customHeight="1">
      <c r="D455" s="16"/>
      <c r="E455" s="16"/>
      <c r="F455" s="16"/>
      <c r="G455" s="16"/>
      <c r="H455" s="16"/>
    </row>
    <row r="456" ht="15.75" customHeight="1">
      <c r="D456" s="16"/>
      <c r="E456" s="16"/>
      <c r="F456" s="16"/>
      <c r="G456" s="16"/>
      <c r="H456" s="16"/>
    </row>
    <row r="457" ht="15.75" customHeight="1">
      <c r="D457" s="16"/>
      <c r="E457" s="16"/>
      <c r="F457" s="16"/>
      <c r="G457" s="16"/>
      <c r="H457" s="16"/>
    </row>
    <row r="458" ht="15.75" customHeight="1">
      <c r="D458" s="16"/>
      <c r="E458" s="16"/>
      <c r="F458" s="16"/>
      <c r="G458" s="16"/>
      <c r="H458" s="16"/>
    </row>
    <row r="459" ht="15.75" customHeight="1">
      <c r="D459" s="16"/>
      <c r="E459" s="16"/>
      <c r="F459" s="16"/>
      <c r="G459" s="16"/>
      <c r="H459" s="16"/>
    </row>
    <row r="460" ht="15.75" customHeight="1">
      <c r="D460" s="16"/>
      <c r="E460" s="16"/>
      <c r="F460" s="16"/>
      <c r="G460" s="16"/>
      <c r="H460" s="16"/>
    </row>
    <row r="461" ht="15.75" customHeight="1">
      <c r="D461" s="16"/>
      <c r="E461" s="16"/>
      <c r="F461" s="16"/>
      <c r="G461" s="16"/>
      <c r="H461" s="16"/>
    </row>
    <row r="462" ht="15.75" customHeight="1">
      <c r="D462" s="16"/>
      <c r="E462" s="16"/>
      <c r="F462" s="16"/>
      <c r="G462" s="16"/>
      <c r="H462" s="16"/>
    </row>
    <row r="463" ht="15.75" customHeight="1">
      <c r="D463" s="16"/>
      <c r="E463" s="16"/>
      <c r="F463" s="16"/>
      <c r="G463" s="16"/>
      <c r="H463" s="16"/>
    </row>
    <row r="464" ht="15.75" customHeight="1">
      <c r="D464" s="16"/>
      <c r="E464" s="16"/>
      <c r="F464" s="16"/>
      <c r="G464" s="16"/>
      <c r="H464" s="16"/>
    </row>
    <row r="465" ht="15.75" customHeight="1">
      <c r="D465" s="16"/>
      <c r="E465" s="16"/>
      <c r="F465" s="16"/>
      <c r="G465" s="16"/>
      <c r="H465" s="16"/>
    </row>
    <row r="466" ht="15.75" customHeight="1">
      <c r="D466" s="16"/>
      <c r="E466" s="16"/>
      <c r="F466" s="16"/>
      <c r="G466" s="16"/>
      <c r="H466" s="16"/>
    </row>
    <row r="467" ht="15.75" customHeight="1">
      <c r="D467" s="16"/>
      <c r="E467" s="16"/>
      <c r="F467" s="16"/>
      <c r="G467" s="16"/>
      <c r="H467" s="16"/>
    </row>
    <row r="468" ht="15.75" customHeight="1">
      <c r="D468" s="16"/>
      <c r="E468" s="16"/>
      <c r="F468" s="16"/>
      <c r="G468" s="16"/>
      <c r="H468" s="16"/>
    </row>
    <row r="469" ht="15.75" customHeight="1">
      <c r="D469" s="16"/>
      <c r="E469" s="16"/>
      <c r="F469" s="16"/>
      <c r="G469" s="16"/>
      <c r="H469" s="16"/>
    </row>
    <row r="470" ht="15.75" customHeight="1">
      <c r="D470" s="16"/>
      <c r="E470" s="16"/>
      <c r="F470" s="16"/>
      <c r="G470" s="16"/>
      <c r="H470" s="16"/>
    </row>
    <row r="471" ht="15.75" customHeight="1">
      <c r="D471" s="16"/>
      <c r="E471" s="16"/>
      <c r="F471" s="16"/>
      <c r="G471" s="16"/>
      <c r="H471" s="16"/>
    </row>
    <row r="472" ht="15.75" customHeight="1">
      <c r="D472" s="16"/>
      <c r="E472" s="16"/>
      <c r="F472" s="16"/>
      <c r="G472" s="16"/>
      <c r="H472" s="16"/>
    </row>
    <row r="473" ht="15.75" customHeight="1">
      <c r="D473" s="16"/>
      <c r="E473" s="16"/>
      <c r="F473" s="16"/>
      <c r="G473" s="16"/>
      <c r="H473" s="16"/>
    </row>
    <row r="474" ht="15.75" customHeight="1">
      <c r="D474" s="16"/>
      <c r="E474" s="16"/>
      <c r="F474" s="16"/>
      <c r="G474" s="16"/>
      <c r="H474" s="16"/>
    </row>
    <row r="475" ht="15.75" customHeight="1">
      <c r="D475" s="16"/>
      <c r="E475" s="16"/>
      <c r="F475" s="16"/>
      <c r="G475" s="16"/>
      <c r="H475" s="16"/>
    </row>
    <row r="476" ht="15.75" customHeight="1">
      <c r="D476" s="16"/>
      <c r="E476" s="16"/>
      <c r="F476" s="16"/>
      <c r="G476" s="16"/>
      <c r="H476" s="16"/>
    </row>
    <row r="477" ht="15.75" customHeight="1">
      <c r="D477" s="16"/>
      <c r="E477" s="16"/>
      <c r="F477" s="16"/>
      <c r="G477" s="16"/>
      <c r="H477" s="16"/>
    </row>
    <row r="478" ht="15.75" customHeight="1">
      <c r="D478" s="16"/>
      <c r="E478" s="16"/>
      <c r="F478" s="16"/>
      <c r="G478" s="16"/>
      <c r="H478" s="16"/>
    </row>
    <row r="479" ht="15.75" customHeight="1">
      <c r="D479" s="16"/>
      <c r="E479" s="16"/>
      <c r="F479" s="16"/>
      <c r="G479" s="16"/>
      <c r="H479" s="16"/>
    </row>
    <row r="480" ht="15.75" customHeight="1">
      <c r="D480" s="16"/>
      <c r="E480" s="16"/>
      <c r="F480" s="16"/>
      <c r="G480" s="16"/>
      <c r="H480" s="16"/>
    </row>
    <row r="481" ht="15.75" customHeight="1">
      <c r="D481" s="16"/>
      <c r="E481" s="16"/>
      <c r="F481" s="16"/>
      <c r="G481" s="16"/>
      <c r="H481" s="16"/>
    </row>
    <row r="482" ht="15.75" customHeight="1">
      <c r="D482" s="16"/>
      <c r="E482" s="16"/>
      <c r="F482" s="16"/>
      <c r="G482" s="16"/>
      <c r="H482" s="16"/>
    </row>
    <row r="483" ht="15.75" customHeight="1">
      <c r="D483" s="16"/>
      <c r="E483" s="16"/>
      <c r="F483" s="16"/>
      <c r="G483" s="16"/>
      <c r="H483" s="16"/>
    </row>
    <row r="484" ht="15.75" customHeight="1">
      <c r="D484" s="16"/>
      <c r="E484" s="16"/>
      <c r="F484" s="16"/>
      <c r="G484" s="16"/>
      <c r="H484" s="16"/>
    </row>
    <row r="485" ht="15.75" customHeight="1">
      <c r="D485" s="16"/>
      <c r="E485" s="16"/>
      <c r="F485" s="16"/>
      <c r="G485" s="16"/>
      <c r="H485" s="16"/>
    </row>
    <row r="486" ht="15.75" customHeight="1">
      <c r="D486" s="16"/>
      <c r="E486" s="16"/>
      <c r="F486" s="16"/>
      <c r="G486" s="16"/>
      <c r="H486" s="16"/>
    </row>
    <row r="487" ht="15.75" customHeight="1">
      <c r="D487" s="16"/>
      <c r="E487" s="16"/>
      <c r="F487" s="16"/>
      <c r="G487" s="16"/>
      <c r="H487" s="16"/>
    </row>
    <row r="488" ht="15.75" customHeight="1">
      <c r="D488" s="16"/>
      <c r="E488" s="16"/>
      <c r="F488" s="16"/>
      <c r="G488" s="16"/>
      <c r="H488" s="16"/>
    </row>
    <row r="489" ht="15.75" customHeight="1">
      <c r="D489" s="16"/>
      <c r="E489" s="16"/>
      <c r="F489" s="16"/>
      <c r="G489" s="16"/>
      <c r="H489" s="16"/>
    </row>
    <row r="490" ht="15.75" customHeight="1">
      <c r="D490" s="16"/>
      <c r="E490" s="16"/>
      <c r="F490" s="16"/>
      <c r="G490" s="16"/>
      <c r="H490" s="16"/>
    </row>
    <row r="491" ht="15.75" customHeight="1">
      <c r="D491" s="16"/>
      <c r="E491" s="16"/>
      <c r="F491" s="16"/>
      <c r="G491" s="16"/>
      <c r="H491" s="16"/>
    </row>
    <row r="492" ht="15.75" customHeight="1">
      <c r="D492" s="16"/>
      <c r="E492" s="16"/>
      <c r="F492" s="16"/>
      <c r="G492" s="16"/>
      <c r="H492" s="16"/>
    </row>
    <row r="493" ht="15.75" customHeight="1">
      <c r="D493" s="16"/>
      <c r="E493" s="16"/>
      <c r="F493" s="16"/>
      <c r="G493" s="16"/>
      <c r="H493" s="16"/>
    </row>
    <row r="494" ht="15.75" customHeight="1">
      <c r="D494" s="16"/>
      <c r="E494" s="16"/>
      <c r="F494" s="16"/>
      <c r="G494" s="16"/>
      <c r="H494" s="16"/>
    </row>
    <row r="495" ht="15.75" customHeight="1">
      <c r="D495" s="16"/>
      <c r="E495" s="16"/>
      <c r="F495" s="16"/>
      <c r="G495" s="16"/>
      <c r="H495" s="16"/>
    </row>
    <row r="496" ht="15.75" customHeight="1">
      <c r="D496" s="16"/>
      <c r="E496" s="16"/>
      <c r="F496" s="16"/>
      <c r="G496" s="16"/>
      <c r="H496" s="16"/>
    </row>
    <row r="497" ht="15.75" customHeight="1">
      <c r="D497" s="16"/>
      <c r="E497" s="16"/>
      <c r="F497" s="16"/>
      <c r="G497" s="16"/>
      <c r="H497" s="16"/>
    </row>
    <row r="498" ht="15.75" customHeight="1">
      <c r="D498" s="16"/>
      <c r="E498" s="16"/>
      <c r="F498" s="16"/>
      <c r="G498" s="16"/>
      <c r="H498" s="16"/>
    </row>
    <row r="499" ht="15.75" customHeight="1">
      <c r="D499" s="16"/>
      <c r="E499" s="16"/>
      <c r="F499" s="16"/>
      <c r="G499" s="16"/>
      <c r="H499" s="16"/>
    </row>
    <row r="500" ht="15.75" customHeight="1">
      <c r="D500" s="16"/>
      <c r="E500" s="16"/>
      <c r="F500" s="16"/>
      <c r="G500" s="16"/>
      <c r="H500" s="16"/>
    </row>
    <row r="501" ht="15.75" customHeight="1">
      <c r="D501" s="16"/>
      <c r="E501" s="16"/>
      <c r="F501" s="16"/>
      <c r="G501" s="16"/>
      <c r="H501" s="16"/>
    </row>
    <row r="502" ht="15.75" customHeight="1">
      <c r="D502" s="16"/>
      <c r="E502" s="16"/>
      <c r="F502" s="16"/>
      <c r="G502" s="16"/>
      <c r="H502" s="16"/>
    </row>
    <row r="503" ht="15.75" customHeight="1">
      <c r="D503" s="16"/>
      <c r="E503" s="16"/>
      <c r="F503" s="16"/>
      <c r="G503" s="16"/>
      <c r="H503" s="16"/>
    </row>
    <row r="504" ht="15.75" customHeight="1">
      <c r="D504" s="16"/>
      <c r="E504" s="16"/>
      <c r="F504" s="16"/>
      <c r="G504" s="16"/>
      <c r="H504" s="16"/>
    </row>
    <row r="505" ht="15.75" customHeight="1">
      <c r="D505" s="16"/>
      <c r="E505" s="16"/>
      <c r="F505" s="16"/>
      <c r="G505" s="16"/>
      <c r="H505" s="16"/>
    </row>
    <row r="506" ht="15.75" customHeight="1">
      <c r="D506" s="16"/>
      <c r="E506" s="16"/>
      <c r="F506" s="16"/>
      <c r="G506" s="16"/>
      <c r="H506" s="16"/>
    </row>
    <row r="507" ht="15.75" customHeight="1">
      <c r="D507" s="16"/>
      <c r="E507" s="16"/>
      <c r="F507" s="16"/>
      <c r="G507" s="16"/>
      <c r="H507" s="16"/>
    </row>
    <row r="508" ht="15.75" customHeight="1">
      <c r="D508" s="16"/>
      <c r="E508" s="16"/>
      <c r="F508" s="16"/>
      <c r="G508" s="16"/>
      <c r="H508" s="16"/>
    </row>
    <row r="509" ht="15.75" customHeight="1">
      <c r="D509" s="16"/>
      <c r="E509" s="16"/>
      <c r="F509" s="16"/>
      <c r="G509" s="16"/>
      <c r="H509" s="16"/>
    </row>
    <row r="510" ht="15.75" customHeight="1">
      <c r="D510" s="16"/>
      <c r="E510" s="16"/>
      <c r="F510" s="16"/>
      <c r="G510" s="16"/>
      <c r="H510" s="16"/>
    </row>
    <row r="511" ht="15.75" customHeight="1">
      <c r="D511" s="16"/>
      <c r="E511" s="16"/>
      <c r="F511" s="16"/>
      <c r="G511" s="16"/>
      <c r="H511" s="16"/>
    </row>
    <row r="512" ht="15.75" customHeight="1">
      <c r="D512" s="16"/>
      <c r="E512" s="16"/>
      <c r="F512" s="16"/>
      <c r="G512" s="16"/>
      <c r="H512" s="16"/>
    </row>
    <row r="513" ht="15.75" customHeight="1">
      <c r="D513" s="16"/>
      <c r="E513" s="16"/>
      <c r="F513" s="16"/>
      <c r="G513" s="16"/>
      <c r="H513" s="16"/>
    </row>
    <row r="514" ht="15.75" customHeight="1">
      <c r="D514" s="16"/>
      <c r="E514" s="16"/>
      <c r="F514" s="16"/>
      <c r="G514" s="16"/>
      <c r="H514" s="16"/>
    </row>
    <row r="515" ht="15.75" customHeight="1">
      <c r="D515" s="16"/>
      <c r="E515" s="16"/>
      <c r="F515" s="16"/>
      <c r="G515" s="16"/>
      <c r="H515" s="16"/>
    </row>
    <row r="516" ht="15.75" customHeight="1">
      <c r="D516" s="16"/>
      <c r="E516" s="16"/>
      <c r="F516" s="16"/>
      <c r="G516" s="16"/>
      <c r="H516" s="16"/>
    </row>
    <row r="517" ht="15.75" customHeight="1">
      <c r="D517" s="16"/>
      <c r="E517" s="16"/>
      <c r="F517" s="16"/>
      <c r="G517" s="16"/>
      <c r="H517" s="16"/>
    </row>
    <row r="518" ht="15.75" customHeight="1">
      <c r="D518" s="16"/>
      <c r="E518" s="16"/>
      <c r="F518" s="16"/>
      <c r="G518" s="16"/>
      <c r="H518" s="16"/>
    </row>
    <row r="519" ht="15.75" customHeight="1">
      <c r="D519" s="16"/>
      <c r="E519" s="16"/>
      <c r="F519" s="16"/>
      <c r="G519" s="16"/>
      <c r="H519" s="16"/>
    </row>
    <row r="520" ht="15.75" customHeight="1">
      <c r="D520" s="16"/>
      <c r="E520" s="16"/>
      <c r="F520" s="16"/>
      <c r="G520" s="16"/>
      <c r="H520" s="16"/>
    </row>
    <row r="521" ht="15.75" customHeight="1">
      <c r="D521" s="16"/>
      <c r="E521" s="16"/>
      <c r="F521" s="16"/>
      <c r="G521" s="16"/>
      <c r="H521" s="16"/>
    </row>
    <row r="522" ht="15.75" customHeight="1">
      <c r="D522" s="16"/>
      <c r="E522" s="16"/>
      <c r="F522" s="16"/>
      <c r="G522" s="16"/>
      <c r="H522" s="16"/>
    </row>
    <row r="523" ht="15.75" customHeight="1">
      <c r="D523" s="16"/>
      <c r="E523" s="16"/>
      <c r="F523" s="16"/>
      <c r="G523" s="16"/>
      <c r="H523" s="16"/>
    </row>
    <row r="524" ht="15.75" customHeight="1">
      <c r="D524" s="16"/>
      <c r="E524" s="16"/>
      <c r="F524" s="16"/>
      <c r="G524" s="16"/>
      <c r="H524" s="16"/>
    </row>
    <row r="525" ht="15.75" customHeight="1">
      <c r="D525" s="16"/>
      <c r="E525" s="16"/>
      <c r="F525" s="16"/>
      <c r="G525" s="16"/>
      <c r="H525" s="16"/>
    </row>
    <row r="526" ht="15.75" customHeight="1">
      <c r="D526" s="16"/>
      <c r="E526" s="16"/>
      <c r="F526" s="16"/>
      <c r="G526" s="16"/>
      <c r="H526" s="16"/>
    </row>
    <row r="527" ht="15.75" customHeight="1">
      <c r="D527" s="16"/>
      <c r="E527" s="16"/>
      <c r="F527" s="16"/>
      <c r="G527" s="16"/>
      <c r="H527" s="16"/>
    </row>
    <row r="528" ht="15.75" customHeight="1">
      <c r="D528" s="16"/>
      <c r="E528" s="16"/>
      <c r="F528" s="16"/>
      <c r="G528" s="16"/>
      <c r="H528" s="16"/>
    </row>
    <row r="529" ht="15.75" customHeight="1">
      <c r="D529" s="16"/>
      <c r="E529" s="16"/>
      <c r="F529" s="16"/>
      <c r="G529" s="16"/>
      <c r="H529" s="16"/>
    </row>
    <row r="530" ht="15.75" customHeight="1">
      <c r="D530" s="16"/>
      <c r="E530" s="16"/>
      <c r="F530" s="16"/>
      <c r="G530" s="16"/>
      <c r="H530" s="16"/>
    </row>
    <row r="531" ht="15.75" customHeight="1">
      <c r="D531" s="16"/>
      <c r="E531" s="16"/>
      <c r="F531" s="16"/>
      <c r="G531" s="16"/>
      <c r="H531" s="16"/>
    </row>
    <row r="532" ht="15.75" customHeight="1">
      <c r="D532" s="16"/>
      <c r="E532" s="16"/>
      <c r="F532" s="16"/>
      <c r="G532" s="16"/>
      <c r="H532" s="16"/>
    </row>
    <row r="533" ht="15.75" customHeight="1">
      <c r="D533" s="16"/>
      <c r="E533" s="16"/>
      <c r="F533" s="16"/>
      <c r="G533" s="16"/>
      <c r="H533" s="16"/>
    </row>
    <row r="534" ht="15.75" customHeight="1">
      <c r="D534" s="16"/>
      <c r="E534" s="16"/>
      <c r="F534" s="16"/>
      <c r="G534" s="16"/>
      <c r="H534" s="16"/>
    </row>
    <row r="535" ht="15.75" customHeight="1">
      <c r="D535" s="16"/>
      <c r="E535" s="16"/>
      <c r="F535" s="16"/>
      <c r="G535" s="16"/>
      <c r="H535" s="16"/>
    </row>
    <row r="536" ht="15.75" customHeight="1">
      <c r="D536" s="16"/>
      <c r="E536" s="16"/>
      <c r="F536" s="16"/>
      <c r="G536" s="16"/>
      <c r="H536" s="16"/>
    </row>
    <row r="537" ht="15.75" customHeight="1">
      <c r="D537" s="16"/>
      <c r="E537" s="16"/>
      <c r="F537" s="16"/>
      <c r="G537" s="16"/>
      <c r="H537" s="16"/>
    </row>
    <row r="538" ht="15.75" customHeight="1">
      <c r="D538" s="16"/>
      <c r="E538" s="16"/>
      <c r="F538" s="16"/>
      <c r="G538" s="16"/>
      <c r="H538" s="16"/>
    </row>
    <row r="539" ht="15.75" customHeight="1">
      <c r="D539" s="16"/>
      <c r="E539" s="16"/>
      <c r="F539" s="16"/>
      <c r="G539" s="16"/>
      <c r="H539" s="16"/>
    </row>
    <row r="540" ht="15.75" customHeight="1">
      <c r="D540" s="16"/>
      <c r="E540" s="16"/>
      <c r="F540" s="16"/>
      <c r="G540" s="16"/>
      <c r="H540" s="16"/>
    </row>
    <row r="541" ht="15.75" customHeight="1">
      <c r="D541" s="16"/>
      <c r="E541" s="16"/>
      <c r="F541" s="16"/>
      <c r="G541" s="16"/>
      <c r="H541" s="16"/>
    </row>
    <row r="542" ht="15.75" customHeight="1">
      <c r="D542" s="16"/>
      <c r="E542" s="16"/>
      <c r="F542" s="16"/>
      <c r="G542" s="16"/>
      <c r="H542" s="16"/>
    </row>
    <row r="543" ht="15.75" customHeight="1">
      <c r="D543" s="16"/>
      <c r="E543" s="16"/>
      <c r="F543" s="16"/>
      <c r="G543" s="16"/>
      <c r="H543" s="16"/>
    </row>
    <row r="544" ht="15.75" customHeight="1">
      <c r="D544" s="16"/>
      <c r="E544" s="16"/>
      <c r="F544" s="16"/>
      <c r="G544" s="16"/>
      <c r="H544" s="16"/>
    </row>
    <row r="545" ht="15.75" customHeight="1">
      <c r="D545" s="16"/>
      <c r="E545" s="16"/>
      <c r="F545" s="16"/>
      <c r="G545" s="16"/>
      <c r="H545" s="16"/>
    </row>
    <row r="546" ht="15.75" customHeight="1">
      <c r="D546" s="16"/>
      <c r="E546" s="16"/>
      <c r="F546" s="16"/>
      <c r="G546" s="16"/>
      <c r="H546" s="16"/>
    </row>
    <row r="547" ht="15.75" customHeight="1">
      <c r="D547" s="16"/>
      <c r="E547" s="16"/>
      <c r="F547" s="16"/>
      <c r="G547" s="16"/>
      <c r="H547" s="16"/>
    </row>
    <row r="548" ht="15.75" customHeight="1">
      <c r="D548" s="16"/>
      <c r="E548" s="16"/>
      <c r="F548" s="16"/>
      <c r="G548" s="16"/>
      <c r="H548" s="16"/>
    </row>
    <row r="549" ht="15.75" customHeight="1">
      <c r="D549" s="16"/>
      <c r="E549" s="16"/>
      <c r="F549" s="16"/>
      <c r="G549" s="16"/>
      <c r="H549" s="16"/>
    </row>
    <row r="550" ht="15.75" customHeight="1">
      <c r="D550" s="16"/>
      <c r="E550" s="16"/>
      <c r="F550" s="16"/>
      <c r="G550" s="16"/>
      <c r="H550" s="16"/>
    </row>
    <row r="551" ht="15.75" customHeight="1">
      <c r="D551" s="16"/>
      <c r="E551" s="16"/>
      <c r="F551" s="16"/>
      <c r="G551" s="16"/>
      <c r="H551" s="16"/>
    </row>
    <row r="552" ht="15.75" customHeight="1">
      <c r="D552" s="16"/>
      <c r="E552" s="16"/>
      <c r="F552" s="16"/>
      <c r="G552" s="16"/>
      <c r="H552" s="16"/>
    </row>
    <row r="553" ht="15.75" customHeight="1">
      <c r="D553" s="16"/>
      <c r="E553" s="16"/>
      <c r="F553" s="16"/>
      <c r="G553" s="16"/>
      <c r="H553" s="16"/>
    </row>
    <row r="554" ht="15.75" customHeight="1">
      <c r="D554" s="16"/>
      <c r="E554" s="16"/>
      <c r="F554" s="16"/>
      <c r="G554" s="16"/>
      <c r="H554" s="16"/>
    </row>
    <row r="555" ht="15.75" customHeight="1">
      <c r="D555" s="16"/>
      <c r="E555" s="16"/>
      <c r="F555" s="16"/>
      <c r="G555" s="16"/>
      <c r="H555" s="16"/>
    </row>
    <row r="556" ht="15.75" customHeight="1">
      <c r="D556" s="16"/>
      <c r="E556" s="16"/>
      <c r="F556" s="16"/>
      <c r="G556" s="16"/>
      <c r="H556" s="16"/>
    </row>
    <row r="557" ht="15.75" customHeight="1">
      <c r="D557" s="16"/>
      <c r="E557" s="16"/>
      <c r="F557" s="16"/>
      <c r="G557" s="16"/>
      <c r="H557" s="16"/>
    </row>
    <row r="558" ht="15.75" customHeight="1">
      <c r="D558" s="16"/>
      <c r="E558" s="16"/>
      <c r="F558" s="16"/>
      <c r="G558" s="16"/>
      <c r="H558" s="16"/>
    </row>
    <row r="559" ht="15.75" customHeight="1">
      <c r="D559" s="16"/>
      <c r="E559" s="16"/>
      <c r="F559" s="16"/>
      <c r="G559" s="16"/>
      <c r="H559" s="16"/>
    </row>
    <row r="560" ht="15.75" customHeight="1">
      <c r="D560" s="16"/>
      <c r="E560" s="16"/>
      <c r="F560" s="16"/>
      <c r="G560" s="16"/>
      <c r="H560" s="16"/>
    </row>
    <row r="561" ht="15.75" customHeight="1">
      <c r="D561" s="16"/>
      <c r="E561" s="16"/>
      <c r="F561" s="16"/>
      <c r="G561" s="16"/>
      <c r="H561" s="16"/>
    </row>
    <row r="562" ht="15.75" customHeight="1">
      <c r="D562" s="16"/>
      <c r="E562" s="16"/>
      <c r="F562" s="16"/>
      <c r="G562" s="16"/>
      <c r="H562" s="16"/>
    </row>
    <row r="563" ht="15.75" customHeight="1">
      <c r="D563" s="16"/>
      <c r="E563" s="16"/>
      <c r="F563" s="16"/>
      <c r="G563" s="16"/>
      <c r="H563" s="16"/>
    </row>
    <row r="564" ht="15.75" customHeight="1">
      <c r="D564" s="16"/>
      <c r="E564" s="16"/>
      <c r="F564" s="16"/>
      <c r="G564" s="16"/>
      <c r="H564" s="16"/>
    </row>
    <row r="565" ht="15.75" customHeight="1">
      <c r="D565" s="16"/>
      <c r="E565" s="16"/>
      <c r="F565" s="16"/>
      <c r="G565" s="16"/>
      <c r="H565" s="16"/>
    </row>
    <row r="566" ht="15.75" customHeight="1">
      <c r="D566" s="16"/>
      <c r="E566" s="16"/>
      <c r="F566" s="16"/>
      <c r="G566" s="16"/>
      <c r="H566" s="16"/>
    </row>
    <row r="567" ht="15.75" customHeight="1">
      <c r="D567" s="16"/>
      <c r="E567" s="16"/>
      <c r="F567" s="16"/>
      <c r="G567" s="16"/>
      <c r="H567" s="16"/>
    </row>
    <row r="568" ht="15.75" customHeight="1">
      <c r="D568" s="16"/>
      <c r="E568" s="16"/>
      <c r="F568" s="16"/>
      <c r="G568" s="16"/>
      <c r="H568" s="16"/>
    </row>
    <row r="569" ht="15.75" customHeight="1">
      <c r="D569" s="16"/>
      <c r="E569" s="16"/>
      <c r="F569" s="16"/>
      <c r="G569" s="16"/>
      <c r="H569" s="16"/>
    </row>
    <row r="570" ht="15.75" customHeight="1">
      <c r="D570" s="16"/>
      <c r="E570" s="16"/>
      <c r="F570" s="16"/>
      <c r="G570" s="16"/>
      <c r="H570" s="16"/>
    </row>
    <row r="571" ht="15.75" customHeight="1">
      <c r="D571" s="16"/>
      <c r="E571" s="16"/>
      <c r="F571" s="16"/>
      <c r="G571" s="16"/>
      <c r="H571" s="16"/>
    </row>
    <row r="572" ht="15.75" customHeight="1">
      <c r="D572" s="16"/>
      <c r="E572" s="16"/>
      <c r="F572" s="16"/>
      <c r="G572" s="16"/>
      <c r="H572" s="16"/>
    </row>
    <row r="573" ht="15.75" customHeight="1">
      <c r="D573" s="16"/>
      <c r="E573" s="16"/>
      <c r="F573" s="16"/>
      <c r="G573" s="16"/>
      <c r="H573" s="16"/>
    </row>
    <row r="574" ht="15.75" customHeight="1">
      <c r="D574" s="16"/>
      <c r="E574" s="16"/>
      <c r="F574" s="16"/>
      <c r="G574" s="16"/>
      <c r="H574" s="16"/>
    </row>
    <row r="575" ht="15.75" customHeight="1">
      <c r="D575" s="16"/>
      <c r="E575" s="16"/>
      <c r="F575" s="16"/>
      <c r="G575" s="16"/>
      <c r="H575" s="16"/>
    </row>
    <row r="576" ht="15.75" customHeight="1">
      <c r="D576" s="16"/>
      <c r="E576" s="16"/>
      <c r="F576" s="16"/>
      <c r="G576" s="16"/>
      <c r="H576" s="16"/>
    </row>
    <row r="577" ht="15.75" customHeight="1">
      <c r="D577" s="16"/>
      <c r="E577" s="16"/>
      <c r="F577" s="16"/>
      <c r="G577" s="16"/>
      <c r="H577" s="16"/>
    </row>
    <row r="578" ht="15.75" customHeight="1">
      <c r="D578" s="16"/>
      <c r="E578" s="16"/>
      <c r="F578" s="16"/>
      <c r="G578" s="16"/>
      <c r="H578" s="16"/>
    </row>
    <row r="579" ht="15.75" customHeight="1">
      <c r="D579" s="16"/>
      <c r="E579" s="16"/>
      <c r="F579" s="16"/>
      <c r="G579" s="16"/>
      <c r="H579" s="16"/>
    </row>
    <row r="580" ht="15.75" customHeight="1">
      <c r="D580" s="16"/>
      <c r="E580" s="16"/>
      <c r="F580" s="16"/>
      <c r="G580" s="16"/>
      <c r="H580" s="16"/>
    </row>
    <row r="581" ht="15.75" customHeight="1">
      <c r="D581" s="16"/>
      <c r="E581" s="16"/>
      <c r="F581" s="16"/>
      <c r="G581" s="16"/>
      <c r="H581" s="16"/>
    </row>
    <row r="582" ht="15.75" customHeight="1">
      <c r="D582" s="16"/>
      <c r="E582" s="16"/>
      <c r="F582" s="16"/>
      <c r="G582" s="16"/>
      <c r="H582" s="16"/>
    </row>
    <row r="583" ht="15.75" customHeight="1">
      <c r="D583" s="16"/>
      <c r="E583" s="16"/>
      <c r="F583" s="16"/>
      <c r="G583" s="16"/>
      <c r="H583" s="16"/>
    </row>
    <row r="584" ht="15.75" customHeight="1">
      <c r="D584" s="16"/>
      <c r="E584" s="16"/>
      <c r="F584" s="16"/>
      <c r="G584" s="16"/>
      <c r="H584" s="16"/>
    </row>
    <row r="585" ht="15.75" customHeight="1">
      <c r="D585" s="16"/>
      <c r="E585" s="16"/>
      <c r="F585" s="16"/>
      <c r="G585" s="16"/>
      <c r="H585" s="16"/>
    </row>
    <row r="586" ht="15.75" customHeight="1">
      <c r="D586" s="16"/>
      <c r="E586" s="16"/>
      <c r="F586" s="16"/>
      <c r="G586" s="16"/>
      <c r="H586" s="16"/>
    </row>
    <row r="587" ht="15.75" customHeight="1">
      <c r="D587" s="16"/>
      <c r="E587" s="16"/>
      <c r="F587" s="16"/>
      <c r="G587" s="16"/>
      <c r="H587" s="16"/>
    </row>
    <row r="588" ht="15.75" customHeight="1">
      <c r="D588" s="16"/>
      <c r="E588" s="16"/>
      <c r="F588" s="16"/>
      <c r="G588" s="16"/>
      <c r="H588" s="16"/>
    </row>
    <row r="589" ht="15.75" customHeight="1">
      <c r="D589" s="16"/>
      <c r="E589" s="16"/>
      <c r="F589" s="16"/>
      <c r="G589" s="16"/>
      <c r="H589" s="16"/>
    </row>
    <row r="590" ht="15.75" customHeight="1">
      <c r="D590" s="16"/>
      <c r="E590" s="16"/>
      <c r="F590" s="16"/>
      <c r="G590" s="16"/>
      <c r="H590" s="16"/>
    </row>
    <row r="591" ht="15.75" customHeight="1">
      <c r="D591" s="16"/>
      <c r="E591" s="16"/>
      <c r="F591" s="16"/>
      <c r="G591" s="16"/>
      <c r="H591" s="16"/>
    </row>
    <row r="592" ht="15.75" customHeight="1">
      <c r="D592" s="16"/>
      <c r="E592" s="16"/>
      <c r="F592" s="16"/>
      <c r="G592" s="16"/>
      <c r="H592" s="16"/>
    </row>
    <row r="593" ht="15.75" customHeight="1">
      <c r="D593" s="16"/>
      <c r="E593" s="16"/>
      <c r="F593" s="16"/>
      <c r="G593" s="16"/>
      <c r="H593" s="16"/>
    </row>
    <row r="594" ht="15.75" customHeight="1">
      <c r="D594" s="16"/>
      <c r="E594" s="16"/>
      <c r="F594" s="16"/>
      <c r="G594" s="16"/>
      <c r="H594" s="16"/>
    </row>
    <row r="595" ht="15.75" customHeight="1">
      <c r="D595" s="16"/>
      <c r="E595" s="16"/>
      <c r="F595" s="16"/>
      <c r="G595" s="16"/>
      <c r="H595" s="16"/>
    </row>
    <row r="596" ht="15.75" customHeight="1">
      <c r="D596" s="16"/>
      <c r="E596" s="16"/>
      <c r="F596" s="16"/>
      <c r="G596" s="16"/>
      <c r="H596" s="16"/>
    </row>
    <row r="597" ht="15.75" customHeight="1">
      <c r="D597" s="16"/>
      <c r="E597" s="16"/>
      <c r="F597" s="16"/>
      <c r="G597" s="16"/>
      <c r="H597" s="16"/>
    </row>
    <row r="598" ht="15.75" customHeight="1">
      <c r="D598" s="16"/>
      <c r="E598" s="16"/>
      <c r="F598" s="16"/>
      <c r="G598" s="16"/>
      <c r="H598" s="16"/>
    </row>
    <row r="599" ht="15.75" customHeight="1">
      <c r="D599" s="16"/>
      <c r="E599" s="16"/>
      <c r="F599" s="16"/>
      <c r="G599" s="16"/>
      <c r="H599" s="16"/>
    </row>
    <row r="600" ht="15.75" customHeight="1">
      <c r="D600" s="16"/>
      <c r="E600" s="16"/>
      <c r="F600" s="16"/>
      <c r="G600" s="16"/>
      <c r="H600" s="16"/>
    </row>
    <row r="601" ht="15.75" customHeight="1">
      <c r="D601" s="16"/>
      <c r="E601" s="16"/>
      <c r="F601" s="16"/>
      <c r="G601" s="16"/>
      <c r="H601" s="16"/>
    </row>
    <row r="602" ht="15.75" customHeight="1">
      <c r="D602" s="16"/>
      <c r="E602" s="16"/>
      <c r="F602" s="16"/>
      <c r="G602" s="16"/>
      <c r="H602" s="16"/>
    </row>
    <row r="603" ht="15.75" customHeight="1">
      <c r="D603" s="16"/>
      <c r="E603" s="16"/>
      <c r="F603" s="16"/>
      <c r="G603" s="16"/>
      <c r="H603" s="16"/>
    </row>
    <row r="604" ht="15.75" customHeight="1">
      <c r="D604" s="16"/>
      <c r="E604" s="16"/>
      <c r="F604" s="16"/>
      <c r="G604" s="16"/>
      <c r="H604" s="16"/>
    </row>
    <row r="605" ht="15.75" customHeight="1">
      <c r="D605" s="16"/>
      <c r="E605" s="16"/>
      <c r="F605" s="16"/>
      <c r="G605" s="16"/>
      <c r="H605" s="16"/>
    </row>
    <row r="606" ht="15.75" customHeight="1">
      <c r="D606" s="16"/>
      <c r="E606" s="16"/>
      <c r="F606" s="16"/>
      <c r="G606" s="16"/>
      <c r="H606" s="16"/>
    </row>
    <row r="607" ht="15.75" customHeight="1">
      <c r="D607" s="16"/>
      <c r="E607" s="16"/>
      <c r="F607" s="16"/>
      <c r="G607" s="16"/>
      <c r="H607" s="16"/>
    </row>
    <row r="608" ht="15.75" customHeight="1">
      <c r="D608" s="16"/>
      <c r="E608" s="16"/>
      <c r="F608" s="16"/>
      <c r="G608" s="16"/>
      <c r="H608" s="16"/>
    </row>
    <row r="609" ht="15.75" customHeight="1">
      <c r="D609" s="16"/>
      <c r="E609" s="16"/>
      <c r="F609" s="16"/>
      <c r="G609" s="16"/>
      <c r="H609" s="16"/>
    </row>
    <row r="610" ht="15.75" customHeight="1">
      <c r="D610" s="16"/>
      <c r="E610" s="16"/>
      <c r="F610" s="16"/>
      <c r="G610" s="16"/>
      <c r="H610" s="16"/>
    </row>
    <row r="611" ht="15.75" customHeight="1">
      <c r="D611" s="16"/>
      <c r="E611" s="16"/>
      <c r="F611" s="16"/>
      <c r="G611" s="16"/>
      <c r="H611" s="16"/>
    </row>
    <row r="612" ht="15.75" customHeight="1">
      <c r="D612" s="16"/>
      <c r="E612" s="16"/>
      <c r="F612" s="16"/>
      <c r="G612" s="16"/>
      <c r="H612" s="16"/>
    </row>
    <row r="613" ht="15.75" customHeight="1">
      <c r="D613" s="16"/>
      <c r="E613" s="16"/>
      <c r="F613" s="16"/>
      <c r="G613" s="16"/>
      <c r="H613" s="16"/>
    </row>
    <row r="614" ht="15.75" customHeight="1">
      <c r="D614" s="16"/>
      <c r="E614" s="16"/>
      <c r="F614" s="16"/>
      <c r="G614" s="16"/>
      <c r="H614" s="16"/>
    </row>
    <row r="615" ht="15.75" customHeight="1">
      <c r="D615" s="16"/>
      <c r="E615" s="16"/>
      <c r="F615" s="16"/>
      <c r="G615" s="16"/>
      <c r="H615" s="16"/>
    </row>
    <row r="616" ht="15.75" customHeight="1">
      <c r="D616" s="16"/>
      <c r="E616" s="16"/>
      <c r="F616" s="16"/>
      <c r="G616" s="16"/>
      <c r="H616" s="16"/>
    </row>
    <row r="617" ht="15.75" customHeight="1">
      <c r="D617" s="16"/>
      <c r="E617" s="16"/>
      <c r="F617" s="16"/>
      <c r="G617" s="16"/>
      <c r="H617" s="16"/>
    </row>
    <row r="618" ht="15.75" customHeight="1">
      <c r="D618" s="16"/>
      <c r="E618" s="16"/>
      <c r="F618" s="16"/>
      <c r="G618" s="16"/>
      <c r="H618" s="16"/>
    </row>
    <row r="619" ht="15.75" customHeight="1">
      <c r="D619" s="16"/>
      <c r="E619" s="16"/>
      <c r="F619" s="16"/>
      <c r="G619" s="16"/>
      <c r="H619" s="16"/>
    </row>
    <row r="620" ht="15.75" customHeight="1">
      <c r="D620" s="16"/>
      <c r="E620" s="16"/>
      <c r="F620" s="16"/>
      <c r="G620" s="16"/>
      <c r="H620" s="16"/>
    </row>
    <row r="621" ht="15.75" customHeight="1">
      <c r="D621" s="16"/>
      <c r="E621" s="16"/>
      <c r="F621" s="16"/>
      <c r="G621" s="16"/>
      <c r="H621" s="16"/>
    </row>
    <row r="622" ht="15.75" customHeight="1">
      <c r="D622" s="16"/>
      <c r="E622" s="16"/>
      <c r="F622" s="16"/>
      <c r="G622" s="16"/>
      <c r="H622" s="16"/>
    </row>
    <row r="623" ht="15.75" customHeight="1">
      <c r="D623" s="16"/>
      <c r="E623" s="16"/>
      <c r="F623" s="16"/>
      <c r="G623" s="16"/>
      <c r="H623" s="16"/>
    </row>
    <row r="624" ht="15.75" customHeight="1">
      <c r="D624" s="16"/>
      <c r="E624" s="16"/>
      <c r="F624" s="16"/>
      <c r="G624" s="16"/>
      <c r="H624" s="16"/>
    </row>
    <row r="625" ht="15.75" customHeight="1">
      <c r="D625" s="16"/>
      <c r="E625" s="16"/>
      <c r="F625" s="16"/>
      <c r="G625" s="16"/>
      <c r="H625" s="16"/>
    </row>
    <row r="626" ht="15.75" customHeight="1">
      <c r="D626" s="16"/>
      <c r="E626" s="16"/>
      <c r="F626" s="16"/>
      <c r="G626" s="16"/>
      <c r="H626" s="16"/>
    </row>
    <row r="627" ht="15.75" customHeight="1">
      <c r="D627" s="16"/>
      <c r="E627" s="16"/>
      <c r="F627" s="16"/>
      <c r="G627" s="16"/>
      <c r="H627" s="16"/>
    </row>
    <row r="628" ht="15.75" customHeight="1">
      <c r="D628" s="16"/>
      <c r="E628" s="16"/>
      <c r="F628" s="16"/>
      <c r="G628" s="16"/>
      <c r="H628" s="16"/>
    </row>
    <row r="629" ht="15.75" customHeight="1">
      <c r="D629" s="16"/>
      <c r="E629" s="16"/>
      <c r="F629" s="16"/>
      <c r="G629" s="16"/>
      <c r="H629" s="16"/>
    </row>
    <row r="630" ht="15.75" customHeight="1">
      <c r="D630" s="16"/>
      <c r="E630" s="16"/>
      <c r="F630" s="16"/>
      <c r="G630" s="16"/>
      <c r="H630" s="16"/>
    </row>
    <row r="631" ht="15.75" customHeight="1">
      <c r="D631" s="16"/>
      <c r="E631" s="16"/>
      <c r="F631" s="16"/>
      <c r="G631" s="16"/>
      <c r="H631" s="16"/>
    </row>
    <row r="632" ht="15.75" customHeight="1">
      <c r="D632" s="16"/>
      <c r="E632" s="16"/>
      <c r="F632" s="16"/>
      <c r="G632" s="16"/>
      <c r="H632" s="16"/>
    </row>
    <row r="633" ht="15.75" customHeight="1">
      <c r="D633" s="16"/>
      <c r="E633" s="16"/>
      <c r="F633" s="16"/>
      <c r="G633" s="16"/>
      <c r="H633" s="16"/>
    </row>
    <row r="634" ht="15.75" customHeight="1">
      <c r="D634" s="16"/>
      <c r="E634" s="16"/>
      <c r="F634" s="16"/>
      <c r="G634" s="16"/>
      <c r="H634" s="16"/>
    </row>
    <row r="635" ht="15.75" customHeight="1">
      <c r="D635" s="16"/>
      <c r="E635" s="16"/>
      <c r="F635" s="16"/>
      <c r="G635" s="16"/>
      <c r="H635" s="16"/>
    </row>
    <row r="636" ht="15.75" customHeight="1">
      <c r="D636" s="16"/>
      <c r="E636" s="16"/>
      <c r="F636" s="16"/>
      <c r="G636" s="16"/>
      <c r="H636" s="16"/>
    </row>
    <row r="637" ht="15.75" customHeight="1">
      <c r="D637" s="16"/>
      <c r="E637" s="16"/>
      <c r="F637" s="16"/>
      <c r="G637" s="16"/>
      <c r="H637" s="16"/>
    </row>
    <row r="638" ht="15.75" customHeight="1">
      <c r="D638" s="16"/>
      <c r="E638" s="16"/>
      <c r="F638" s="16"/>
      <c r="G638" s="16"/>
      <c r="H638" s="16"/>
    </row>
    <row r="639" ht="15.75" customHeight="1">
      <c r="D639" s="16"/>
      <c r="E639" s="16"/>
      <c r="F639" s="16"/>
      <c r="G639" s="16"/>
      <c r="H639" s="16"/>
    </row>
    <row r="640" ht="15.75" customHeight="1">
      <c r="D640" s="16"/>
      <c r="E640" s="16"/>
      <c r="F640" s="16"/>
      <c r="G640" s="16"/>
      <c r="H640" s="16"/>
    </row>
    <row r="641" ht="15.75" customHeight="1">
      <c r="D641" s="16"/>
      <c r="E641" s="16"/>
      <c r="F641" s="16"/>
      <c r="G641" s="16"/>
      <c r="H641" s="16"/>
    </row>
    <row r="642" ht="15.75" customHeight="1">
      <c r="D642" s="16"/>
      <c r="E642" s="16"/>
      <c r="F642" s="16"/>
      <c r="G642" s="16"/>
      <c r="H642" s="16"/>
    </row>
    <row r="643" ht="15.75" customHeight="1">
      <c r="D643" s="16"/>
      <c r="E643" s="16"/>
      <c r="F643" s="16"/>
      <c r="G643" s="16"/>
      <c r="H643" s="16"/>
    </row>
    <row r="644" ht="15.75" customHeight="1">
      <c r="D644" s="16"/>
      <c r="E644" s="16"/>
      <c r="F644" s="16"/>
      <c r="G644" s="16"/>
      <c r="H644" s="16"/>
    </row>
    <row r="645" ht="15.75" customHeight="1">
      <c r="D645" s="16"/>
      <c r="E645" s="16"/>
      <c r="F645" s="16"/>
      <c r="G645" s="16"/>
      <c r="H645" s="16"/>
    </row>
    <row r="646" ht="15.75" customHeight="1">
      <c r="D646" s="16"/>
      <c r="E646" s="16"/>
      <c r="F646" s="16"/>
      <c r="G646" s="16"/>
      <c r="H646" s="16"/>
    </row>
    <row r="647" ht="15.75" customHeight="1">
      <c r="D647" s="16"/>
      <c r="E647" s="16"/>
      <c r="F647" s="16"/>
      <c r="G647" s="16"/>
      <c r="H647" s="16"/>
    </row>
    <row r="648" ht="15.75" customHeight="1">
      <c r="D648" s="16"/>
      <c r="E648" s="16"/>
      <c r="F648" s="16"/>
      <c r="G648" s="16"/>
      <c r="H648" s="16"/>
    </row>
    <row r="649" ht="15.75" customHeight="1">
      <c r="D649" s="16"/>
      <c r="E649" s="16"/>
      <c r="F649" s="16"/>
      <c r="G649" s="16"/>
      <c r="H649" s="16"/>
    </row>
    <row r="650" ht="15.75" customHeight="1">
      <c r="D650" s="16"/>
      <c r="E650" s="16"/>
      <c r="F650" s="16"/>
      <c r="G650" s="16"/>
      <c r="H650" s="16"/>
    </row>
    <row r="651" ht="15.75" customHeight="1">
      <c r="D651" s="16"/>
      <c r="E651" s="16"/>
      <c r="F651" s="16"/>
      <c r="G651" s="16"/>
      <c r="H651" s="16"/>
    </row>
    <row r="652" ht="15.75" customHeight="1">
      <c r="D652" s="16"/>
      <c r="E652" s="16"/>
      <c r="F652" s="16"/>
      <c r="G652" s="16"/>
      <c r="H652" s="16"/>
    </row>
    <row r="653" ht="15.75" customHeight="1">
      <c r="D653" s="16"/>
      <c r="E653" s="16"/>
      <c r="F653" s="16"/>
      <c r="G653" s="16"/>
      <c r="H653" s="16"/>
    </row>
    <row r="654" ht="15.75" customHeight="1">
      <c r="D654" s="16"/>
      <c r="E654" s="16"/>
      <c r="F654" s="16"/>
      <c r="G654" s="16"/>
      <c r="H654" s="16"/>
    </row>
    <row r="655" ht="15.75" customHeight="1">
      <c r="D655" s="16"/>
      <c r="E655" s="16"/>
      <c r="F655" s="16"/>
      <c r="G655" s="16"/>
      <c r="H655" s="16"/>
    </row>
    <row r="656" ht="15.75" customHeight="1">
      <c r="D656" s="16"/>
      <c r="E656" s="16"/>
      <c r="F656" s="16"/>
      <c r="G656" s="16"/>
      <c r="H656" s="16"/>
    </row>
    <row r="657" ht="15.75" customHeight="1">
      <c r="D657" s="16"/>
      <c r="E657" s="16"/>
      <c r="F657" s="16"/>
      <c r="G657" s="16"/>
      <c r="H657" s="16"/>
    </row>
    <row r="658" ht="15.75" customHeight="1">
      <c r="D658" s="16"/>
      <c r="E658" s="16"/>
      <c r="F658" s="16"/>
      <c r="G658" s="16"/>
      <c r="H658" s="16"/>
    </row>
    <row r="659" ht="15.75" customHeight="1">
      <c r="D659" s="16"/>
      <c r="E659" s="16"/>
      <c r="F659" s="16"/>
      <c r="G659" s="16"/>
      <c r="H659" s="16"/>
    </row>
    <row r="660" ht="15.75" customHeight="1">
      <c r="D660" s="16"/>
      <c r="E660" s="16"/>
      <c r="F660" s="16"/>
      <c r="G660" s="16"/>
      <c r="H660" s="16"/>
    </row>
    <row r="661" ht="15.75" customHeight="1">
      <c r="D661" s="16"/>
      <c r="E661" s="16"/>
      <c r="F661" s="16"/>
      <c r="G661" s="16"/>
      <c r="H661" s="16"/>
    </row>
    <row r="662" ht="15.75" customHeight="1">
      <c r="D662" s="16"/>
      <c r="E662" s="16"/>
      <c r="F662" s="16"/>
      <c r="G662" s="16"/>
      <c r="H662" s="16"/>
    </row>
    <row r="663" ht="15.75" customHeight="1">
      <c r="D663" s="16"/>
      <c r="E663" s="16"/>
      <c r="F663" s="16"/>
      <c r="G663" s="16"/>
      <c r="H663" s="16"/>
    </row>
    <row r="664" ht="15.75" customHeight="1">
      <c r="D664" s="16"/>
      <c r="E664" s="16"/>
      <c r="F664" s="16"/>
      <c r="G664" s="16"/>
      <c r="H664" s="16"/>
    </row>
    <row r="665" ht="15.75" customHeight="1">
      <c r="D665" s="16"/>
      <c r="E665" s="16"/>
      <c r="F665" s="16"/>
      <c r="G665" s="16"/>
      <c r="H665" s="16"/>
    </row>
    <row r="666" ht="15.75" customHeight="1">
      <c r="D666" s="16"/>
      <c r="E666" s="16"/>
      <c r="F666" s="16"/>
      <c r="G666" s="16"/>
      <c r="H666" s="16"/>
    </row>
    <row r="667" ht="15.75" customHeight="1">
      <c r="D667" s="16"/>
      <c r="E667" s="16"/>
      <c r="F667" s="16"/>
      <c r="G667" s="16"/>
      <c r="H667" s="16"/>
    </row>
    <row r="668" ht="15.75" customHeight="1">
      <c r="D668" s="16"/>
      <c r="E668" s="16"/>
      <c r="F668" s="16"/>
      <c r="G668" s="16"/>
      <c r="H668" s="16"/>
    </row>
    <row r="669" ht="15.75" customHeight="1">
      <c r="D669" s="16"/>
      <c r="E669" s="16"/>
      <c r="F669" s="16"/>
      <c r="G669" s="16"/>
      <c r="H669" s="16"/>
    </row>
    <row r="670" ht="15.75" customHeight="1">
      <c r="D670" s="16"/>
      <c r="E670" s="16"/>
      <c r="F670" s="16"/>
      <c r="G670" s="16"/>
      <c r="H670" s="16"/>
    </row>
    <row r="671" ht="15.75" customHeight="1">
      <c r="D671" s="16"/>
      <c r="E671" s="16"/>
      <c r="F671" s="16"/>
      <c r="G671" s="16"/>
      <c r="H671" s="16"/>
    </row>
    <row r="672" ht="15.75" customHeight="1">
      <c r="D672" s="16"/>
      <c r="E672" s="16"/>
      <c r="F672" s="16"/>
      <c r="G672" s="16"/>
      <c r="H672" s="16"/>
    </row>
    <row r="673" ht="15.75" customHeight="1">
      <c r="D673" s="16"/>
      <c r="E673" s="16"/>
      <c r="F673" s="16"/>
      <c r="G673" s="16"/>
      <c r="H673" s="16"/>
    </row>
    <row r="674" ht="15.75" customHeight="1">
      <c r="D674" s="16"/>
      <c r="E674" s="16"/>
      <c r="F674" s="16"/>
      <c r="G674" s="16"/>
      <c r="H674" s="16"/>
    </row>
    <row r="675" ht="15.75" customHeight="1">
      <c r="D675" s="16"/>
      <c r="E675" s="16"/>
      <c r="F675" s="16"/>
      <c r="G675" s="16"/>
      <c r="H675" s="16"/>
    </row>
    <row r="676" ht="15.75" customHeight="1">
      <c r="D676" s="16"/>
      <c r="E676" s="16"/>
      <c r="F676" s="16"/>
      <c r="G676" s="16"/>
      <c r="H676" s="16"/>
    </row>
    <row r="677" ht="15.75" customHeight="1">
      <c r="D677" s="16"/>
      <c r="E677" s="16"/>
      <c r="F677" s="16"/>
      <c r="G677" s="16"/>
      <c r="H677" s="16"/>
    </row>
    <row r="678" ht="15.75" customHeight="1">
      <c r="D678" s="16"/>
      <c r="E678" s="16"/>
      <c r="F678" s="16"/>
      <c r="G678" s="16"/>
      <c r="H678" s="16"/>
    </row>
    <row r="679" ht="15.75" customHeight="1">
      <c r="D679" s="16"/>
      <c r="E679" s="16"/>
      <c r="F679" s="16"/>
      <c r="G679" s="16"/>
      <c r="H679" s="16"/>
    </row>
    <row r="680" ht="15.75" customHeight="1">
      <c r="D680" s="16"/>
      <c r="E680" s="16"/>
      <c r="F680" s="16"/>
      <c r="G680" s="16"/>
      <c r="H680" s="16"/>
    </row>
    <row r="681" ht="15.75" customHeight="1">
      <c r="D681" s="16"/>
      <c r="E681" s="16"/>
      <c r="F681" s="16"/>
      <c r="G681" s="16"/>
      <c r="H681" s="16"/>
    </row>
    <row r="682" ht="15.75" customHeight="1">
      <c r="D682" s="16"/>
      <c r="E682" s="16"/>
      <c r="F682" s="16"/>
      <c r="G682" s="16"/>
      <c r="H682" s="16"/>
    </row>
    <row r="683" ht="15.75" customHeight="1">
      <c r="D683" s="16"/>
      <c r="E683" s="16"/>
      <c r="F683" s="16"/>
      <c r="G683" s="16"/>
      <c r="H683" s="16"/>
    </row>
    <row r="684" ht="15.75" customHeight="1">
      <c r="D684" s="16"/>
      <c r="E684" s="16"/>
      <c r="F684" s="16"/>
      <c r="G684" s="16"/>
      <c r="H684" s="16"/>
    </row>
    <row r="685" ht="15.75" customHeight="1">
      <c r="D685" s="16"/>
      <c r="E685" s="16"/>
      <c r="F685" s="16"/>
      <c r="G685" s="16"/>
      <c r="H685" s="16"/>
    </row>
    <row r="686" ht="15.75" customHeight="1">
      <c r="D686" s="16"/>
      <c r="E686" s="16"/>
      <c r="F686" s="16"/>
      <c r="G686" s="16"/>
      <c r="H686" s="16"/>
    </row>
    <row r="687" ht="15.75" customHeight="1">
      <c r="D687" s="16"/>
      <c r="E687" s="16"/>
      <c r="F687" s="16"/>
      <c r="G687" s="16"/>
      <c r="H687" s="16"/>
    </row>
    <row r="688" ht="15.75" customHeight="1">
      <c r="D688" s="16"/>
      <c r="E688" s="16"/>
      <c r="F688" s="16"/>
      <c r="G688" s="16"/>
      <c r="H688" s="16"/>
    </row>
    <row r="689" ht="15.75" customHeight="1">
      <c r="D689" s="16"/>
      <c r="E689" s="16"/>
      <c r="F689" s="16"/>
      <c r="G689" s="16"/>
      <c r="H689" s="16"/>
    </row>
    <row r="690" ht="15.75" customHeight="1">
      <c r="D690" s="16"/>
      <c r="E690" s="16"/>
      <c r="F690" s="16"/>
      <c r="G690" s="16"/>
      <c r="H690" s="16"/>
    </row>
    <row r="691" ht="15.75" customHeight="1">
      <c r="D691" s="16"/>
      <c r="E691" s="16"/>
      <c r="F691" s="16"/>
      <c r="G691" s="16"/>
      <c r="H691" s="16"/>
    </row>
    <row r="692" ht="15.75" customHeight="1">
      <c r="D692" s="16"/>
      <c r="E692" s="16"/>
      <c r="F692" s="16"/>
      <c r="G692" s="16"/>
      <c r="H692" s="16"/>
    </row>
    <row r="693" ht="15.75" customHeight="1">
      <c r="D693" s="16"/>
      <c r="E693" s="16"/>
      <c r="F693" s="16"/>
      <c r="G693" s="16"/>
      <c r="H693" s="16"/>
    </row>
    <row r="694" ht="15.75" customHeight="1">
      <c r="D694" s="16"/>
      <c r="E694" s="16"/>
      <c r="F694" s="16"/>
      <c r="G694" s="16"/>
      <c r="H694" s="16"/>
    </row>
    <row r="695" ht="15.75" customHeight="1">
      <c r="D695" s="16"/>
      <c r="E695" s="16"/>
      <c r="F695" s="16"/>
      <c r="G695" s="16"/>
      <c r="H695" s="16"/>
    </row>
    <row r="696" ht="15.75" customHeight="1">
      <c r="D696" s="16"/>
      <c r="E696" s="16"/>
      <c r="F696" s="16"/>
      <c r="G696" s="16"/>
      <c r="H696" s="16"/>
    </row>
    <row r="697" ht="15.75" customHeight="1">
      <c r="D697" s="16"/>
      <c r="E697" s="16"/>
      <c r="F697" s="16"/>
      <c r="G697" s="16"/>
      <c r="H697" s="16"/>
    </row>
    <row r="698" ht="15.75" customHeight="1">
      <c r="D698" s="16"/>
      <c r="E698" s="16"/>
      <c r="F698" s="16"/>
      <c r="G698" s="16"/>
      <c r="H698" s="16"/>
    </row>
    <row r="699" ht="15.75" customHeight="1">
      <c r="D699" s="16"/>
      <c r="E699" s="16"/>
      <c r="F699" s="16"/>
      <c r="G699" s="16"/>
      <c r="H699" s="16"/>
    </row>
    <row r="700" ht="15.75" customHeight="1">
      <c r="D700" s="16"/>
      <c r="E700" s="16"/>
      <c r="F700" s="16"/>
      <c r="G700" s="16"/>
      <c r="H700" s="16"/>
    </row>
    <row r="701" ht="15.75" customHeight="1">
      <c r="D701" s="16"/>
      <c r="E701" s="16"/>
      <c r="F701" s="16"/>
      <c r="G701" s="16"/>
      <c r="H701" s="16"/>
    </row>
    <row r="702" ht="15.75" customHeight="1">
      <c r="D702" s="16"/>
      <c r="E702" s="16"/>
      <c r="F702" s="16"/>
      <c r="G702" s="16"/>
      <c r="H702" s="16"/>
    </row>
    <row r="703" ht="15.75" customHeight="1">
      <c r="D703" s="16"/>
      <c r="E703" s="16"/>
      <c r="F703" s="16"/>
      <c r="G703" s="16"/>
      <c r="H703" s="16"/>
    </row>
    <row r="704" ht="15.75" customHeight="1">
      <c r="D704" s="16"/>
      <c r="E704" s="16"/>
      <c r="F704" s="16"/>
      <c r="G704" s="16"/>
      <c r="H704" s="16"/>
    </row>
    <row r="705" ht="15.75" customHeight="1">
      <c r="D705" s="16"/>
      <c r="E705" s="16"/>
      <c r="F705" s="16"/>
      <c r="G705" s="16"/>
      <c r="H705" s="16"/>
    </row>
    <row r="706" ht="15.75" customHeight="1">
      <c r="D706" s="16"/>
      <c r="E706" s="16"/>
      <c r="F706" s="16"/>
      <c r="G706" s="16"/>
      <c r="H706" s="16"/>
    </row>
    <row r="707" ht="15.75" customHeight="1">
      <c r="D707" s="16"/>
      <c r="E707" s="16"/>
      <c r="F707" s="16"/>
      <c r="G707" s="16"/>
      <c r="H707" s="16"/>
    </row>
    <row r="708" ht="15.75" customHeight="1">
      <c r="D708" s="16"/>
      <c r="E708" s="16"/>
      <c r="F708" s="16"/>
      <c r="G708" s="16"/>
      <c r="H708" s="16"/>
    </row>
    <row r="709" ht="15.75" customHeight="1">
      <c r="D709" s="16"/>
      <c r="E709" s="16"/>
      <c r="F709" s="16"/>
      <c r="G709" s="16"/>
      <c r="H709" s="16"/>
    </row>
    <row r="710" ht="15.75" customHeight="1">
      <c r="D710" s="16"/>
      <c r="E710" s="16"/>
      <c r="F710" s="16"/>
      <c r="G710" s="16"/>
      <c r="H710" s="16"/>
    </row>
    <row r="711" ht="15.75" customHeight="1">
      <c r="D711" s="16"/>
      <c r="E711" s="16"/>
      <c r="F711" s="16"/>
      <c r="G711" s="16"/>
      <c r="H711" s="16"/>
    </row>
    <row r="712" ht="15.75" customHeight="1">
      <c r="D712" s="16"/>
      <c r="E712" s="16"/>
      <c r="F712" s="16"/>
      <c r="G712" s="16"/>
      <c r="H712" s="16"/>
    </row>
    <row r="713" ht="15.75" customHeight="1">
      <c r="D713" s="16"/>
      <c r="E713" s="16"/>
      <c r="F713" s="16"/>
      <c r="G713" s="16"/>
      <c r="H713" s="16"/>
    </row>
    <row r="714" ht="15.75" customHeight="1">
      <c r="D714" s="16"/>
      <c r="E714" s="16"/>
      <c r="F714" s="16"/>
      <c r="G714" s="16"/>
      <c r="H714" s="16"/>
    </row>
    <row r="715" ht="15.75" customHeight="1">
      <c r="D715" s="16"/>
      <c r="E715" s="16"/>
      <c r="F715" s="16"/>
      <c r="G715" s="16"/>
      <c r="H715" s="16"/>
    </row>
    <row r="716" ht="15.75" customHeight="1">
      <c r="D716" s="16"/>
      <c r="E716" s="16"/>
      <c r="F716" s="16"/>
      <c r="G716" s="16"/>
      <c r="H716" s="16"/>
    </row>
    <row r="717" ht="15.75" customHeight="1">
      <c r="D717" s="16"/>
      <c r="E717" s="16"/>
      <c r="F717" s="16"/>
      <c r="G717" s="16"/>
      <c r="H717" s="16"/>
    </row>
    <row r="718" ht="15.75" customHeight="1">
      <c r="D718" s="16"/>
      <c r="E718" s="16"/>
      <c r="F718" s="16"/>
      <c r="G718" s="16"/>
      <c r="H718" s="16"/>
    </row>
    <row r="719" ht="15.75" customHeight="1">
      <c r="D719" s="16"/>
      <c r="E719" s="16"/>
      <c r="F719" s="16"/>
      <c r="G719" s="16"/>
      <c r="H719" s="16"/>
    </row>
    <row r="720" ht="15.75" customHeight="1">
      <c r="D720" s="16"/>
      <c r="E720" s="16"/>
      <c r="F720" s="16"/>
      <c r="G720" s="16"/>
      <c r="H720" s="16"/>
    </row>
    <row r="721" ht="15.75" customHeight="1">
      <c r="D721" s="16"/>
      <c r="E721" s="16"/>
      <c r="F721" s="16"/>
      <c r="G721" s="16"/>
      <c r="H721" s="16"/>
    </row>
    <row r="722" ht="15.75" customHeight="1">
      <c r="D722" s="16"/>
      <c r="E722" s="16"/>
      <c r="F722" s="16"/>
      <c r="G722" s="16"/>
      <c r="H722" s="16"/>
    </row>
    <row r="723" ht="15.75" customHeight="1">
      <c r="D723" s="16"/>
      <c r="E723" s="16"/>
      <c r="F723" s="16"/>
      <c r="G723" s="16"/>
      <c r="H723" s="16"/>
    </row>
    <row r="724" ht="15.75" customHeight="1">
      <c r="D724" s="16"/>
      <c r="E724" s="16"/>
      <c r="F724" s="16"/>
      <c r="G724" s="16"/>
      <c r="H724" s="16"/>
    </row>
    <row r="725" ht="15.75" customHeight="1">
      <c r="D725" s="16"/>
      <c r="E725" s="16"/>
      <c r="F725" s="16"/>
      <c r="G725" s="16"/>
      <c r="H725" s="16"/>
    </row>
    <row r="726" ht="15.75" customHeight="1">
      <c r="D726" s="16"/>
      <c r="E726" s="16"/>
      <c r="F726" s="16"/>
      <c r="G726" s="16"/>
      <c r="H726" s="16"/>
    </row>
    <row r="727" ht="15.75" customHeight="1">
      <c r="D727" s="16"/>
      <c r="E727" s="16"/>
      <c r="F727" s="16"/>
      <c r="G727" s="16"/>
      <c r="H727" s="16"/>
    </row>
    <row r="728" ht="15.75" customHeight="1">
      <c r="D728" s="16"/>
      <c r="E728" s="16"/>
      <c r="F728" s="16"/>
      <c r="G728" s="16"/>
      <c r="H728" s="16"/>
    </row>
    <row r="729" ht="15.75" customHeight="1">
      <c r="D729" s="16"/>
      <c r="E729" s="16"/>
      <c r="F729" s="16"/>
      <c r="G729" s="16"/>
      <c r="H729" s="16"/>
    </row>
    <row r="730" ht="15.75" customHeight="1">
      <c r="D730" s="16"/>
      <c r="E730" s="16"/>
      <c r="F730" s="16"/>
      <c r="G730" s="16"/>
      <c r="H730" s="16"/>
    </row>
    <row r="731" ht="15.75" customHeight="1">
      <c r="D731" s="16"/>
      <c r="E731" s="16"/>
      <c r="F731" s="16"/>
      <c r="G731" s="16"/>
      <c r="H731" s="16"/>
    </row>
    <row r="732" ht="15.75" customHeight="1">
      <c r="D732" s="16"/>
      <c r="E732" s="16"/>
      <c r="F732" s="16"/>
      <c r="G732" s="16"/>
      <c r="H732" s="16"/>
    </row>
    <row r="733" ht="15.75" customHeight="1">
      <c r="D733" s="16"/>
      <c r="E733" s="16"/>
      <c r="F733" s="16"/>
      <c r="G733" s="16"/>
      <c r="H733" s="16"/>
    </row>
    <row r="734" ht="15.75" customHeight="1">
      <c r="D734" s="16"/>
      <c r="E734" s="16"/>
      <c r="F734" s="16"/>
      <c r="G734" s="16"/>
      <c r="H734" s="16"/>
    </row>
    <row r="735" ht="15.75" customHeight="1">
      <c r="D735" s="16"/>
      <c r="E735" s="16"/>
      <c r="F735" s="16"/>
      <c r="G735" s="16"/>
      <c r="H735" s="16"/>
    </row>
    <row r="736" ht="15.75" customHeight="1">
      <c r="D736" s="16"/>
      <c r="E736" s="16"/>
      <c r="F736" s="16"/>
      <c r="G736" s="16"/>
      <c r="H736" s="16"/>
    </row>
    <row r="737" ht="15.75" customHeight="1">
      <c r="D737" s="16"/>
      <c r="E737" s="16"/>
      <c r="F737" s="16"/>
      <c r="G737" s="16"/>
      <c r="H737" s="16"/>
    </row>
    <row r="738" ht="15.75" customHeight="1">
      <c r="D738" s="16"/>
      <c r="E738" s="16"/>
      <c r="F738" s="16"/>
      <c r="G738" s="16"/>
      <c r="H738" s="16"/>
    </row>
    <row r="739" ht="15.75" customHeight="1">
      <c r="D739" s="16"/>
      <c r="E739" s="16"/>
      <c r="F739" s="16"/>
      <c r="G739" s="16"/>
      <c r="H739" s="16"/>
    </row>
    <row r="740" ht="15.75" customHeight="1">
      <c r="D740" s="16"/>
      <c r="E740" s="16"/>
      <c r="F740" s="16"/>
      <c r="G740" s="16"/>
      <c r="H740" s="16"/>
    </row>
    <row r="741" ht="15.75" customHeight="1">
      <c r="D741" s="16"/>
      <c r="E741" s="16"/>
      <c r="F741" s="16"/>
      <c r="G741" s="16"/>
      <c r="H741" s="16"/>
    </row>
    <row r="742" ht="15.75" customHeight="1">
      <c r="D742" s="16"/>
      <c r="E742" s="16"/>
      <c r="F742" s="16"/>
      <c r="G742" s="16"/>
      <c r="H742" s="16"/>
    </row>
    <row r="743" ht="15.75" customHeight="1">
      <c r="D743" s="16"/>
      <c r="E743" s="16"/>
      <c r="F743" s="16"/>
      <c r="G743" s="16"/>
      <c r="H743" s="16"/>
    </row>
    <row r="744" ht="15.75" customHeight="1">
      <c r="D744" s="16"/>
      <c r="E744" s="16"/>
      <c r="F744" s="16"/>
      <c r="G744" s="16"/>
      <c r="H744" s="16"/>
    </row>
    <row r="745" ht="15.75" customHeight="1">
      <c r="D745" s="16"/>
      <c r="E745" s="16"/>
      <c r="F745" s="16"/>
      <c r="G745" s="16"/>
      <c r="H745" s="16"/>
    </row>
    <row r="746" ht="15.75" customHeight="1">
      <c r="D746" s="16"/>
      <c r="E746" s="16"/>
      <c r="F746" s="16"/>
      <c r="G746" s="16"/>
      <c r="H746" s="16"/>
    </row>
    <row r="747" ht="15.75" customHeight="1">
      <c r="D747" s="16"/>
      <c r="E747" s="16"/>
      <c r="F747" s="16"/>
      <c r="G747" s="16"/>
      <c r="H747" s="16"/>
    </row>
    <row r="748" ht="15.75" customHeight="1">
      <c r="D748" s="16"/>
      <c r="E748" s="16"/>
      <c r="F748" s="16"/>
      <c r="G748" s="16"/>
      <c r="H748" s="16"/>
    </row>
    <row r="749" ht="15.75" customHeight="1">
      <c r="D749" s="16"/>
      <c r="E749" s="16"/>
      <c r="F749" s="16"/>
      <c r="G749" s="16"/>
      <c r="H749" s="16"/>
    </row>
    <row r="750" ht="15.75" customHeight="1">
      <c r="D750" s="16"/>
      <c r="E750" s="16"/>
      <c r="F750" s="16"/>
      <c r="G750" s="16"/>
      <c r="H750" s="16"/>
    </row>
    <row r="751" ht="15.75" customHeight="1">
      <c r="D751" s="16"/>
      <c r="E751" s="16"/>
      <c r="F751" s="16"/>
      <c r="G751" s="16"/>
      <c r="H751" s="16"/>
    </row>
    <row r="752" ht="15.75" customHeight="1">
      <c r="D752" s="16"/>
      <c r="E752" s="16"/>
      <c r="F752" s="16"/>
      <c r="G752" s="16"/>
      <c r="H752" s="16"/>
    </row>
    <row r="753" ht="15.75" customHeight="1">
      <c r="D753" s="16"/>
      <c r="E753" s="16"/>
      <c r="F753" s="16"/>
      <c r="G753" s="16"/>
      <c r="H753" s="16"/>
    </row>
    <row r="754" ht="15.75" customHeight="1">
      <c r="D754" s="16"/>
      <c r="E754" s="16"/>
      <c r="F754" s="16"/>
      <c r="G754" s="16"/>
      <c r="H754" s="16"/>
    </row>
    <row r="755" ht="15.75" customHeight="1">
      <c r="D755" s="16"/>
      <c r="E755" s="16"/>
      <c r="F755" s="16"/>
      <c r="G755" s="16"/>
      <c r="H755" s="16"/>
    </row>
    <row r="756" ht="15.75" customHeight="1">
      <c r="D756" s="16"/>
      <c r="E756" s="16"/>
      <c r="F756" s="16"/>
      <c r="G756" s="16"/>
      <c r="H756" s="16"/>
    </row>
    <row r="757" ht="15.75" customHeight="1">
      <c r="D757" s="16"/>
      <c r="E757" s="16"/>
      <c r="F757" s="16"/>
      <c r="G757" s="16"/>
      <c r="H757" s="16"/>
    </row>
    <row r="758" ht="15.75" customHeight="1">
      <c r="D758" s="16"/>
      <c r="E758" s="16"/>
      <c r="F758" s="16"/>
      <c r="G758" s="16"/>
      <c r="H758" s="16"/>
    </row>
    <row r="759" ht="15.75" customHeight="1">
      <c r="D759" s="16"/>
      <c r="E759" s="16"/>
      <c r="F759" s="16"/>
      <c r="G759" s="16"/>
      <c r="H759" s="16"/>
    </row>
    <row r="760" ht="15.75" customHeight="1">
      <c r="D760" s="16"/>
      <c r="E760" s="16"/>
      <c r="F760" s="16"/>
      <c r="G760" s="16"/>
      <c r="H760" s="16"/>
    </row>
    <row r="761" ht="15.75" customHeight="1">
      <c r="D761" s="16"/>
      <c r="E761" s="16"/>
      <c r="F761" s="16"/>
      <c r="G761" s="16"/>
      <c r="H761" s="16"/>
    </row>
    <row r="762" ht="15.75" customHeight="1">
      <c r="D762" s="16"/>
      <c r="E762" s="16"/>
      <c r="F762" s="16"/>
      <c r="G762" s="16"/>
      <c r="H762" s="16"/>
    </row>
    <row r="763" ht="15.75" customHeight="1">
      <c r="D763" s="16"/>
      <c r="E763" s="16"/>
      <c r="F763" s="16"/>
      <c r="G763" s="16"/>
      <c r="H763" s="16"/>
    </row>
    <row r="764" ht="15.75" customHeight="1">
      <c r="D764" s="16"/>
      <c r="E764" s="16"/>
      <c r="F764" s="16"/>
      <c r="G764" s="16"/>
      <c r="H764" s="16"/>
    </row>
    <row r="765" ht="15.75" customHeight="1">
      <c r="D765" s="16"/>
      <c r="E765" s="16"/>
      <c r="F765" s="16"/>
      <c r="G765" s="16"/>
      <c r="H765" s="16"/>
    </row>
    <row r="766" ht="15.75" customHeight="1">
      <c r="D766" s="16"/>
      <c r="E766" s="16"/>
      <c r="F766" s="16"/>
      <c r="G766" s="16"/>
      <c r="H766" s="16"/>
    </row>
    <row r="767" ht="15.75" customHeight="1">
      <c r="D767" s="16"/>
      <c r="E767" s="16"/>
      <c r="F767" s="16"/>
      <c r="G767" s="16"/>
      <c r="H767" s="16"/>
    </row>
    <row r="768" ht="15.75" customHeight="1">
      <c r="D768" s="16"/>
      <c r="E768" s="16"/>
      <c r="F768" s="16"/>
      <c r="G768" s="16"/>
      <c r="H768" s="16"/>
    </row>
    <row r="769" ht="15.75" customHeight="1">
      <c r="D769" s="16"/>
      <c r="E769" s="16"/>
      <c r="F769" s="16"/>
      <c r="G769" s="16"/>
      <c r="H769" s="16"/>
    </row>
    <row r="770" ht="15.75" customHeight="1">
      <c r="D770" s="16"/>
      <c r="E770" s="16"/>
      <c r="F770" s="16"/>
      <c r="G770" s="16"/>
      <c r="H770" s="16"/>
    </row>
    <row r="771" ht="15.75" customHeight="1">
      <c r="D771" s="16"/>
      <c r="E771" s="16"/>
      <c r="F771" s="16"/>
      <c r="G771" s="16"/>
      <c r="H771" s="16"/>
    </row>
    <row r="772" ht="15.75" customHeight="1">
      <c r="D772" s="16"/>
      <c r="E772" s="16"/>
      <c r="F772" s="16"/>
      <c r="G772" s="16"/>
      <c r="H772" s="16"/>
    </row>
    <row r="773" ht="15.75" customHeight="1">
      <c r="D773" s="16"/>
      <c r="E773" s="16"/>
      <c r="F773" s="16"/>
      <c r="G773" s="16"/>
      <c r="H773" s="16"/>
    </row>
    <row r="774" ht="15.75" customHeight="1">
      <c r="D774" s="16"/>
      <c r="E774" s="16"/>
      <c r="F774" s="16"/>
      <c r="G774" s="16"/>
      <c r="H774" s="16"/>
    </row>
    <row r="775" ht="15.75" customHeight="1">
      <c r="D775" s="16"/>
      <c r="E775" s="16"/>
      <c r="F775" s="16"/>
      <c r="G775" s="16"/>
      <c r="H775" s="16"/>
    </row>
    <row r="776" ht="15.75" customHeight="1">
      <c r="D776" s="16"/>
      <c r="E776" s="16"/>
      <c r="F776" s="16"/>
      <c r="G776" s="16"/>
      <c r="H776" s="16"/>
    </row>
    <row r="777" ht="15.75" customHeight="1">
      <c r="D777" s="16"/>
      <c r="E777" s="16"/>
      <c r="F777" s="16"/>
      <c r="G777" s="16"/>
      <c r="H777" s="16"/>
    </row>
    <row r="778" ht="15.75" customHeight="1">
      <c r="D778" s="16"/>
      <c r="E778" s="16"/>
      <c r="F778" s="16"/>
      <c r="G778" s="16"/>
      <c r="H778" s="16"/>
    </row>
    <row r="779" ht="15.75" customHeight="1">
      <c r="D779" s="16"/>
      <c r="E779" s="16"/>
      <c r="F779" s="16"/>
      <c r="G779" s="16"/>
      <c r="H779" s="16"/>
    </row>
    <row r="780" ht="15.75" customHeight="1">
      <c r="D780" s="16"/>
      <c r="E780" s="16"/>
      <c r="F780" s="16"/>
      <c r="G780" s="16"/>
      <c r="H780" s="16"/>
    </row>
    <row r="781" ht="15.75" customHeight="1">
      <c r="D781" s="16"/>
      <c r="E781" s="16"/>
      <c r="F781" s="16"/>
      <c r="G781" s="16"/>
      <c r="H781" s="16"/>
    </row>
    <row r="782" ht="15.75" customHeight="1">
      <c r="D782" s="16"/>
      <c r="E782" s="16"/>
      <c r="F782" s="16"/>
      <c r="G782" s="16"/>
      <c r="H782" s="16"/>
    </row>
    <row r="783" ht="15.75" customHeight="1">
      <c r="D783" s="16"/>
      <c r="E783" s="16"/>
      <c r="F783" s="16"/>
      <c r="G783" s="16"/>
      <c r="H783" s="16"/>
    </row>
    <row r="784" ht="15.75" customHeight="1">
      <c r="D784" s="16"/>
      <c r="E784" s="16"/>
      <c r="F784" s="16"/>
      <c r="G784" s="16"/>
      <c r="H784" s="16"/>
    </row>
    <row r="785" ht="15.75" customHeight="1">
      <c r="D785" s="16"/>
      <c r="E785" s="16"/>
      <c r="F785" s="16"/>
      <c r="G785" s="16"/>
      <c r="H785" s="16"/>
    </row>
    <row r="786" ht="15.75" customHeight="1">
      <c r="D786" s="16"/>
      <c r="E786" s="16"/>
      <c r="F786" s="16"/>
      <c r="G786" s="16"/>
      <c r="H786" s="16"/>
    </row>
    <row r="787" ht="15.75" customHeight="1">
      <c r="D787" s="16"/>
      <c r="E787" s="16"/>
      <c r="F787" s="16"/>
      <c r="G787" s="16"/>
      <c r="H787" s="16"/>
    </row>
    <row r="788" ht="15.75" customHeight="1">
      <c r="D788" s="16"/>
      <c r="E788" s="16"/>
      <c r="F788" s="16"/>
      <c r="G788" s="16"/>
      <c r="H788" s="16"/>
    </row>
    <row r="789" ht="15.75" customHeight="1">
      <c r="D789" s="16"/>
      <c r="E789" s="16"/>
      <c r="F789" s="16"/>
      <c r="G789" s="16"/>
      <c r="H789" s="16"/>
    </row>
    <row r="790" ht="15.75" customHeight="1">
      <c r="D790" s="16"/>
      <c r="E790" s="16"/>
      <c r="F790" s="16"/>
      <c r="G790" s="16"/>
      <c r="H790" s="16"/>
    </row>
    <row r="791" ht="15.75" customHeight="1">
      <c r="D791" s="16"/>
      <c r="E791" s="16"/>
      <c r="F791" s="16"/>
      <c r="G791" s="16"/>
      <c r="H791" s="16"/>
    </row>
    <row r="792" ht="15.75" customHeight="1">
      <c r="D792" s="16"/>
      <c r="E792" s="16"/>
      <c r="F792" s="16"/>
      <c r="G792" s="16"/>
      <c r="H792" s="16"/>
    </row>
    <row r="793" ht="15.75" customHeight="1">
      <c r="D793" s="16"/>
      <c r="E793" s="16"/>
      <c r="F793" s="16"/>
      <c r="G793" s="16"/>
      <c r="H793" s="16"/>
    </row>
    <row r="794" ht="15.75" customHeight="1">
      <c r="D794" s="16"/>
      <c r="E794" s="16"/>
      <c r="F794" s="16"/>
      <c r="G794" s="16"/>
      <c r="H794" s="16"/>
    </row>
    <row r="795" ht="15.75" customHeight="1">
      <c r="D795" s="16"/>
      <c r="E795" s="16"/>
      <c r="F795" s="16"/>
      <c r="G795" s="16"/>
      <c r="H795" s="16"/>
    </row>
    <row r="796" ht="15.75" customHeight="1">
      <c r="D796" s="16"/>
      <c r="E796" s="16"/>
      <c r="F796" s="16"/>
      <c r="G796" s="16"/>
      <c r="H796" s="16"/>
    </row>
    <row r="797" ht="15.75" customHeight="1">
      <c r="D797" s="16"/>
      <c r="E797" s="16"/>
      <c r="F797" s="16"/>
      <c r="G797" s="16"/>
      <c r="H797" s="16"/>
    </row>
    <row r="798" ht="15.75" customHeight="1">
      <c r="D798" s="16"/>
      <c r="E798" s="16"/>
      <c r="F798" s="16"/>
      <c r="G798" s="16"/>
      <c r="H798" s="16"/>
    </row>
    <row r="799" ht="15.75" customHeight="1">
      <c r="D799" s="16"/>
      <c r="E799" s="16"/>
      <c r="F799" s="16"/>
      <c r="G799" s="16"/>
      <c r="H799" s="16"/>
    </row>
    <row r="800" ht="15.75" customHeight="1">
      <c r="D800" s="16"/>
      <c r="E800" s="16"/>
      <c r="F800" s="16"/>
      <c r="G800" s="16"/>
      <c r="H800" s="16"/>
    </row>
    <row r="801" ht="15.75" customHeight="1">
      <c r="D801" s="16"/>
      <c r="E801" s="16"/>
      <c r="F801" s="16"/>
      <c r="G801" s="16"/>
      <c r="H801" s="16"/>
    </row>
    <row r="802" ht="15.75" customHeight="1">
      <c r="D802" s="16"/>
      <c r="E802" s="16"/>
      <c r="F802" s="16"/>
      <c r="G802" s="16"/>
      <c r="H802" s="16"/>
    </row>
    <row r="803" ht="15.75" customHeight="1">
      <c r="D803" s="16"/>
      <c r="E803" s="16"/>
      <c r="F803" s="16"/>
      <c r="G803" s="16"/>
      <c r="H803" s="16"/>
    </row>
    <row r="804" ht="15.75" customHeight="1">
      <c r="D804" s="16"/>
      <c r="E804" s="16"/>
      <c r="F804" s="16"/>
      <c r="G804" s="16"/>
      <c r="H804" s="16"/>
    </row>
    <row r="805" ht="15.75" customHeight="1">
      <c r="D805" s="16"/>
      <c r="E805" s="16"/>
      <c r="F805" s="16"/>
      <c r="G805" s="16"/>
      <c r="H805" s="16"/>
    </row>
    <row r="806" ht="15.75" customHeight="1">
      <c r="D806" s="16"/>
      <c r="E806" s="16"/>
      <c r="F806" s="16"/>
      <c r="G806" s="16"/>
      <c r="H806" s="16"/>
    </row>
    <row r="807" ht="15.75" customHeight="1">
      <c r="D807" s="16"/>
      <c r="E807" s="16"/>
      <c r="F807" s="16"/>
      <c r="G807" s="16"/>
      <c r="H807" s="16"/>
    </row>
    <row r="808" ht="15.75" customHeight="1">
      <c r="D808" s="16"/>
      <c r="E808" s="16"/>
      <c r="F808" s="16"/>
      <c r="G808" s="16"/>
      <c r="H808" s="16"/>
    </row>
    <row r="809" ht="15.75" customHeight="1">
      <c r="D809" s="16"/>
      <c r="E809" s="16"/>
      <c r="F809" s="16"/>
      <c r="G809" s="16"/>
      <c r="H809" s="16"/>
    </row>
    <row r="810" ht="15.75" customHeight="1">
      <c r="D810" s="16"/>
      <c r="E810" s="16"/>
      <c r="F810" s="16"/>
      <c r="G810" s="16"/>
      <c r="H810" s="16"/>
    </row>
    <row r="811" ht="15.75" customHeight="1">
      <c r="D811" s="16"/>
      <c r="E811" s="16"/>
      <c r="F811" s="16"/>
      <c r="G811" s="16"/>
      <c r="H811" s="16"/>
    </row>
    <row r="812" ht="15.75" customHeight="1">
      <c r="D812" s="16"/>
      <c r="E812" s="16"/>
      <c r="F812" s="16"/>
      <c r="G812" s="16"/>
      <c r="H812" s="16"/>
    </row>
    <row r="813" ht="15.75" customHeight="1">
      <c r="D813" s="16"/>
      <c r="E813" s="16"/>
      <c r="F813" s="16"/>
      <c r="G813" s="16"/>
      <c r="H813" s="16"/>
    </row>
    <row r="814" ht="15.75" customHeight="1">
      <c r="D814" s="16"/>
      <c r="E814" s="16"/>
      <c r="F814" s="16"/>
      <c r="G814" s="16"/>
      <c r="H814" s="16"/>
    </row>
    <row r="815" ht="15.75" customHeight="1">
      <c r="D815" s="16"/>
      <c r="E815" s="16"/>
      <c r="F815" s="16"/>
      <c r="G815" s="16"/>
      <c r="H815" s="16"/>
    </row>
    <row r="816" ht="15.75" customHeight="1">
      <c r="D816" s="16"/>
      <c r="E816" s="16"/>
      <c r="F816" s="16"/>
      <c r="G816" s="16"/>
      <c r="H816" s="16"/>
    </row>
    <row r="817" ht="15.75" customHeight="1">
      <c r="D817" s="16"/>
      <c r="E817" s="16"/>
      <c r="F817" s="16"/>
      <c r="G817" s="16"/>
      <c r="H817" s="16"/>
    </row>
    <row r="818" ht="15.75" customHeight="1">
      <c r="D818" s="16"/>
      <c r="E818" s="16"/>
      <c r="F818" s="16"/>
      <c r="G818" s="16"/>
      <c r="H818" s="16"/>
    </row>
    <row r="819" ht="15.75" customHeight="1">
      <c r="D819" s="16"/>
      <c r="E819" s="16"/>
      <c r="F819" s="16"/>
      <c r="G819" s="16"/>
      <c r="H819" s="16"/>
    </row>
    <row r="820" ht="15.75" customHeight="1">
      <c r="D820" s="16"/>
      <c r="E820" s="16"/>
      <c r="F820" s="16"/>
      <c r="G820" s="16"/>
      <c r="H820" s="16"/>
    </row>
    <row r="821" ht="15.75" customHeight="1">
      <c r="D821" s="16"/>
      <c r="E821" s="16"/>
      <c r="F821" s="16"/>
      <c r="G821" s="16"/>
      <c r="H821" s="16"/>
    </row>
    <row r="822" ht="15.75" customHeight="1">
      <c r="D822" s="16"/>
      <c r="E822" s="16"/>
      <c r="F822" s="16"/>
      <c r="G822" s="16"/>
      <c r="H822" s="16"/>
    </row>
    <row r="823" ht="15.75" customHeight="1">
      <c r="D823" s="16"/>
      <c r="E823" s="16"/>
      <c r="F823" s="16"/>
      <c r="G823" s="16"/>
      <c r="H823" s="16"/>
    </row>
    <row r="824" ht="15.75" customHeight="1">
      <c r="D824" s="16"/>
      <c r="E824" s="16"/>
      <c r="F824" s="16"/>
      <c r="G824" s="16"/>
      <c r="H824" s="16"/>
    </row>
    <row r="825" ht="15.75" customHeight="1">
      <c r="D825" s="16"/>
      <c r="E825" s="16"/>
      <c r="F825" s="16"/>
      <c r="G825" s="16"/>
      <c r="H825" s="16"/>
    </row>
    <row r="826" ht="15.75" customHeight="1">
      <c r="D826" s="16"/>
      <c r="E826" s="16"/>
      <c r="F826" s="16"/>
      <c r="G826" s="16"/>
      <c r="H826" s="16"/>
    </row>
    <row r="827" ht="15.75" customHeight="1">
      <c r="D827" s="16"/>
      <c r="E827" s="16"/>
      <c r="F827" s="16"/>
      <c r="G827" s="16"/>
      <c r="H827" s="16"/>
    </row>
    <row r="828" ht="15.75" customHeight="1">
      <c r="D828" s="16"/>
      <c r="E828" s="16"/>
      <c r="F828" s="16"/>
      <c r="G828" s="16"/>
      <c r="H828" s="16"/>
    </row>
    <row r="829" ht="15.75" customHeight="1">
      <c r="D829" s="16"/>
      <c r="E829" s="16"/>
      <c r="F829" s="16"/>
      <c r="G829" s="16"/>
      <c r="H829" s="16"/>
    </row>
    <row r="830" ht="15.75" customHeight="1">
      <c r="D830" s="16"/>
      <c r="E830" s="16"/>
      <c r="F830" s="16"/>
      <c r="G830" s="16"/>
      <c r="H830" s="16"/>
    </row>
    <row r="831" ht="15.75" customHeight="1">
      <c r="D831" s="16"/>
      <c r="E831" s="16"/>
      <c r="F831" s="16"/>
      <c r="G831" s="16"/>
      <c r="H831" s="16"/>
    </row>
    <row r="832" ht="15.75" customHeight="1">
      <c r="D832" s="16"/>
      <c r="E832" s="16"/>
      <c r="F832" s="16"/>
      <c r="G832" s="16"/>
      <c r="H832" s="16"/>
    </row>
    <row r="833" ht="15.75" customHeight="1">
      <c r="D833" s="16"/>
      <c r="E833" s="16"/>
      <c r="F833" s="16"/>
      <c r="G833" s="16"/>
      <c r="H833" s="16"/>
    </row>
    <row r="834" ht="15.75" customHeight="1">
      <c r="D834" s="16"/>
      <c r="E834" s="16"/>
      <c r="F834" s="16"/>
      <c r="G834" s="16"/>
      <c r="H834" s="16"/>
    </row>
    <row r="835" ht="15.75" customHeight="1">
      <c r="D835" s="16"/>
      <c r="E835" s="16"/>
      <c r="F835" s="16"/>
      <c r="G835" s="16"/>
      <c r="H835" s="16"/>
    </row>
    <row r="836" ht="15.75" customHeight="1">
      <c r="D836" s="16"/>
      <c r="E836" s="16"/>
      <c r="F836" s="16"/>
      <c r="G836" s="16"/>
      <c r="H836" s="16"/>
    </row>
    <row r="837" ht="15.75" customHeight="1">
      <c r="D837" s="16"/>
      <c r="E837" s="16"/>
      <c r="F837" s="16"/>
      <c r="G837" s="16"/>
      <c r="H837" s="16"/>
    </row>
    <row r="838" ht="15.75" customHeight="1">
      <c r="D838" s="16"/>
      <c r="E838" s="16"/>
      <c r="F838" s="16"/>
      <c r="G838" s="16"/>
      <c r="H838" s="16"/>
    </row>
    <row r="839" ht="15.75" customHeight="1">
      <c r="D839" s="16"/>
      <c r="E839" s="16"/>
      <c r="F839" s="16"/>
      <c r="G839" s="16"/>
      <c r="H839" s="16"/>
    </row>
    <row r="840" ht="15.75" customHeight="1">
      <c r="D840" s="16"/>
      <c r="E840" s="16"/>
      <c r="F840" s="16"/>
      <c r="G840" s="16"/>
      <c r="H840" s="16"/>
    </row>
    <row r="841" ht="15.75" customHeight="1">
      <c r="D841" s="16"/>
      <c r="E841" s="16"/>
      <c r="F841" s="16"/>
      <c r="G841" s="16"/>
      <c r="H841" s="16"/>
    </row>
    <row r="842" ht="15.75" customHeight="1">
      <c r="D842" s="16"/>
      <c r="E842" s="16"/>
      <c r="F842" s="16"/>
      <c r="G842" s="16"/>
      <c r="H842" s="16"/>
    </row>
    <row r="843" ht="15.75" customHeight="1">
      <c r="D843" s="16"/>
      <c r="E843" s="16"/>
      <c r="F843" s="16"/>
      <c r="G843" s="16"/>
      <c r="H843" s="16"/>
    </row>
    <row r="844" ht="15.75" customHeight="1">
      <c r="D844" s="16"/>
      <c r="E844" s="16"/>
      <c r="F844" s="16"/>
      <c r="G844" s="16"/>
      <c r="H844" s="16"/>
    </row>
    <row r="845" ht="15.75" customHeight="1">
      <c r="D845" s="16"/>
      <c r="E845" s="16"/>
      <c r="F845" s="16"/>
      <c r="G845" s="16"/>
      <c r="H845" s="16"/>
    </row>
    <row r="846" ht="15.75" customHeight="1">
      <c r="D846" s="16"/>
      <c r="E846" s="16"/>
      <c r="F846" s="16"/>
      <c r="G846" s="16"/>
      <c r="H846" s="16"/>
    </row>
    <row r="847" ht="15.75" customHeight="1">
      <c r="D847" s="16"/>
      <c r="E847" s="16"/>
      <c r="F847" s="16"/>
      <c r="G847" s="16"/>
      <c r="H847" s="16"/>
    </row>
    <row r="848" ht="15.75" customHeight="1">
      <c r="D848" s="16"/>
      <c r="E848" s="16"/>
      <c r="F848" s="16"/>
      <c r="G848" s="16"/>
      <c r="H848" s="16"/>
    </row>
    <row r="849" ht="15.75" customHeight="1">
      <c r="D849" s="16"/>
      <c r="E849" s="16"/>
      <c r="F849" s="16"/>
      <c r="G849" s="16"/>
      <c r="H849" s="16"/>
    </row>
    <row r="850" ht="15.75" customHeight="1">
      <c r="D850" s="16"/>
      <c r="E850" s="16"/>
      <c r="F850" s="16"/>
      <c r="G850" s="16"/>
      <c r="H850" s="16"/>
    </row>
    <row r="851" ht="15.75" customHeight="1">
      <c r="D851" s="16"/>
      <c r="E851" s="16"/>
      <c r="F851" s="16"/>
      <c r="G851" s="16"/>
      <c r="H851" s="16"/>
    </row>
    <row r="852" ht="15.75" customHeight="1">
      <c r="D852" s="16"/>
      <c r="E852" s="16"/>
      <c r="F852" s="16"/>
      <c r="G852" s="16"/>
      <c r="H852" s="16"/>
    </row>
    <row r="853" ht="15.75" customHeight="1">
      <c r="D853" s="16"/>
      <c r="E853" s="16"/>
      <c r="F853" s="16"/>
      <c r="G853" s="16"/>
      <c r="H853" s="16"/>
    </row>
    <row r="854" ht="15.75" customHeight="1">
      <c r="D854" s="16"/>
      <c r="E854" s="16"/>
      <c r="F854" s="16"/>
      <c r="G854" s="16"/>
      <c r="H854" s="16"/>
    </row>
    <row r="855" ht="15.75" customHeight="1">
      <c r="D855" s="16"/>
      <c r="E855" s="16"/>
      <c r="F855" s="16"/>
      <c r="G855" s="16"/>
      <c r="H855" s="16"/>
    </row>
    <row r="856" ht="15.75" customHeight="1">
      <c r="D856" s="16"/>
      <c r="E856" s="16"/>
      <c r="F856" s="16"/>
      <c r="G856" s="16"/>
      <c r="H856" s="16"/>
    </row>
    <row r="857" ht="15.75" customHeight="1">
      <c r="D857" s="16"/>
      <c r="E857" s="16"/>
      <c r="F857" s="16"/>
      <c r="G857" s="16"/>
      <c r="H857" s="16"/>
    </row>
    <row r="858" ht="15.75" customHeight="1">
      <c r="D858" s="16"/>
      <c r="E858" s="16"/>
      <c r="F858" s="16"/>
      <c r="G858" s="16"/>
      <c r="H858" s="16"/>
    </row>
    <row r="859" ht="15.75" customHeight="1">
      <c r="D859" s="16"/>
      <c r="E859" s="16"/>
      <c r="F859" s="16"/>
      <c r="G859" s="16"/>
      <c r="H859" s="16"/>
    </row>
    <row r="860" ht="15.75" customHeight="1">
      <c r="D860" s="16"/>
      <c r="E860" s="16"/>
      <c r="F860" s="16"/>
      <c r="G860" s="16"/>
      <c r="H860" s="16"/>
    </row>
    <row r="861" ht="15.75" customHeight="1">
      <c r="D861" s="16"/>
      <c r="E861" s="16"/>
      <c r="F861" s="16"/>
      <c r="G861" s="16"/>
      <c r="H861" s="16"/>
    </row>
    <row r="862" ht="15.75" customHeight="1">
      <c r="D862" s="16"/>
      <c r="E862" s="16"/>
      <c r="F862" s="16"/>
      <c r="G862" s="16"/>
      <c r="H862" s="16"/>
    </row>
    <row r="863" ht="15.75" customHeight="1">
      <c r="D863" s="16"/>
      <c r="E863" s="16"/>
      <c r="F863" s="16"/>
      <c r="G863" s="16"/>
      <c r="H863" s="16"/>
    </row>
    <row r="864" ht="15.75" customHeight="1">
      <c r="D864" s="16"/>
      <c r="E864" s="16"/>
      <c r="F864" s="16"/>
      <c r="G864" s="16"/>
      <c r="H864" s="16"/>
    </row>
    <row r="865" ht="15.75" customHeight="1">
      <c r="D865" s="16"/>
      <c r="E865" s="16"/>
      <c r="F865" s="16"/>
      <c r="G865" s="16"/>
      <c r="H865" s="16"/>
    </row>
    <row r="866" ht="15.75" customHeight="1">
      <c r="D866" s="16"/>
      <c r="E866" s="16"/>
      <c r="F866" s="16"/>
      <c r="G866" s="16"/>
      <c r="H866" s="16"/>
    </row>
    <row r="867" ht="15.75" customHeight="1">
      <c r="D867" s="16"/>
      <c r="E867" s="16"/>
      <c r="F867" s="16"/>
      <c r="G867" s="16"/>
      <c r="H867" s="16"/>
    </row>
    <row r="868" ht="15.75" customHeight="1">
      <c r="D868" s="16"/>
      <c r="E868" s="16"/>
      <c r="F868" s="16"/>
      <c r="G868" s="16"/>
      <c r="H868" s="16"/>
    </row>
    <row r="869" ht="15.75" customHeight="1">
      <c r="D869" s="16"/>
      <c r="E869" s="16"/>
      <c r="F869" s="16"/>
      <c r="G869" s="16"/>
      <c r="H869" s="16"/>
    </row>
    <row r="870" ht="15.75" customHeight="1">
      <c r="D870" s="16"/>
      <c r="E870" s="16"/>
      <c r="F870" s="16"/>
      <c r="G870" s="16"/>
      <c r="H870" s="16"/>
    </row>
    <row r="871" ht="15.75" customHeight="1">
      <c r="D871" s="16"/>
      <c r="E871" s="16"/>
      <c r="F871" s="16"/>
      <c r="G871" s="16"/>
      <c r="H871" s="16"/>
    </row>
    <row r="872" ht="15.75" customHeight="1">
      <c r="D872" s="16"/>
      <c r="E872" s="16"/>
      <c r="F872" s="16"/>
      <c r="G872" s="16"/>
      <c r="H872" s="16"/>
    </row>
    <row r="873" ht="15.75" customHeight="1">
      <c r="D873" s="16"/>
      <c r="E873" s="16"/>
      <c r="F873" s="16"/>
      <c r="G873" s="16"/>
      <c r="H873" s="16"/>
    </row>
    <row r="874" ht="15.75" customHeight="1">
      <c r="D874" s="16"/>
      <c r="E874" s="16"/>
      <c r="F874" s="16"/>
      <c r="G874" s="16"/>
      <c r="H874" s="16"/>
    </row>
    <row r="875" ht="15.75" customHeight="1">
      <c r="D875" s="16"/>
      <c r="E875" s="16"/>
      <c r="F875" s="16"/>
      <c r="G875" s="16"/>
      <c r="H875" s="16"/>
    </row>
    <row r="876" ht="15.75" customHeight="1">
      <c r="D876" s="16"/>
      <c r="E876" s="16"/>
      <c r="F876" s="16"/>
      <c r="G876" s="16"/>
      <c r="H876" s="16"/>
    </row>
    <row r="877" ht="15.75" customHeight="1">
      <c r="D877" s="16"/>
      <c r="E877" s="16"/>
      <c r="F877" s="16"/>
      <c r="G877" s="16"/>
      <c r="H877" s="16"/>
    </row>
    <row r="878" ht="15.75" customHeight="1">
      <c r="D878" s="16"/>
      <c r="E878" s="16"/>
      <c r="F878" s="16"/>
      <c r="G878" s="16"/>
      <c r="H878" s="16"/>
    </row>
    <row r="879" ht="15.75" customHeight="1">
      <c r="D879" s="16"/>
      <c r="E879" s="16"/>
      <c r="F879" s="16"/>
      <c r="G879" s="16"/>
      <c r="H879" s="16"/>
    </row>
    <row r="880" ht="15.75" customHeight="1">
      <c r="D880" s="16"/>
      <c r="E880" s="16"/>
      <c r="F880" s="16"/>
      <c r="G880" s="16"/>
      <c r="H880" s="16"/>
    </row>
    <row r="881" ht="15.75" customHeight="1">
      <c r="D881" s="16"/>
      <c r="E881" s="16"/>
      <c r="F881" s="16"/>
      <c r="G881" s="16"/>
      <c r="H881" s="16"/>
    </row>
    <row r="882" ht="15.75" customHeight="1">
      <c r="D882" s="16"/>
      <c r="E882" s="16"/>
      <c r="F882" s="16"/>
      <c r="G882" s="16"/>
      <c r="H882" s="16"/>
    </row>
    <row r="883" ht="15.75" customHeight="1">
      <c r="D883" s="16"/>
      <c r="E883" s="16"/>
      <c r="F883" s="16"/>
      <c r="G883" s="16"/>
      <c r="H883" s="16"/>
    </row>
    <row r="884" ht="15.75" customHeight="1">
      <c r="D884" s="16"/>
      <c r="E884" s="16"/>
      <c r="F884" s="16"/>
      <c r="G884" s="16"/>
      <c r="H884" s="16"/>
    </row>
    <row r="885" ht="15.75" customHeight="1">
      <c r="D885" s="16"/>
      <c r="E885" s="16"/>
      <c r="F885" s="16"/>
      <c r="G885" s="16"/>
      <c r="H885" s="16"/>
    </row>
    <row r="886" ht="15.75" customHeight="1">
      <c r="D886" s="16"/>
      <c r="E886" s="16"/>
      <c r="F886" s="16"/>
      <c r="G886" s="16"/>
      <c r="H886" s="16"/>
    </row>
    <row r="887" ht="15.75" customHeight="1">
      <c r="D887" s="16"/>
      <c r="E887" s="16"/>
      <c r="F887" s="16"/>
      <c r="G887" s="16"/>
      <c r="H887" s="16"/>
    </row>
    <row r="888" ht="15.75" customHeight="1">
      <c r="D888" s="16"/>
      <c r="E888" s="16"/>
      <c r="F888" s="16"/>
      <c r="G888" s="16"/>
      <c r="H888" s="16"/>
    </row>
    <row r="889" ht="15.75" customHeight="1">
      <c r="D889" s="16"/>
      <c r="E889" s="16"/>
      <c r="F889" s="16"/>
      <c r="G889" s="16"/>
      <c r="H889" s="16"/>
    </row>
    <row r="890" ht="15.75" customHeight="1">
      <c r="D890" s="16"/>
      <c r="E890" s="16"/>
      <c r="F890" s="16"/>
      <c r="G890" s="16"/>
      <c r="H890" s="16"/>
    </row>
    <row r="891" ht="15.75" customHeight="1">
      <c r="D891" s="16"/>
      <c r="E891" s="16"/>
      <c r="F891" s="16"/>
      <c r="G891" s="16"/>
      <c r="H891" s="16"/>
    </row>
    <row r="892" ht="15.75" customHeight="1">
      <c r="D892" s="16"/>
      <c r="E892" s="16"/>
      <c r="F892" s="16"/>
      <c r="G892" s="16"/>
      <c r="H892" s="16"/>
    </row>
    <row r="893" ht="15.75" customHeight="1">
      <c r="D893" s="16"/>
      <c r="E893" s="16"/>
      <c r="F893" s="16"/>
      <c r="G893" s="16"/>
      <c r="H893" s="16"/>
    </row>
    <row r="894" ht="15.75" customHeight="1">
      <c r="D894" s="16"/>
      <c r="E894" s="16"/>
      <c r="F894" s="16"/>
      <c r="G894" s="16"/>
      <c r="H894" s="16"/>
    </row>
    <row r="895" ht="15.75" customHeight="1">
      <c r="D895" s="16"/>
      <c r="E895" s="16"/>
      <c r="F895" s="16"/>
      <c r="G895" s="16"/>
      <c r="H895" s="16"/>
    </row>
    <row r="896" ht="15.75" customHeight="1">
      <c r="D896" s="16"/>
      <c r="E896" s="16"/>
      <c r="F896" s="16"/>
      <c r="G896" s="16"/>
      <c r="H896" s="16"/>
    </row>
    <row r="897" ht="15.75" customHeight="1">
      <c r="D897" s="16"/>
      <c r="E897" s="16"/>
      <c r="F897" s="16"/>
      <c r="G897" s="16"/>
      <c r="H897" s="16"/>
    </row>
    <row r="898" ht="15.75" customHeight="1">
      <c r="D898" s="16"/>
      <c r="E898" s="16"/>
      <c r="F898" s="16"/>
      <c r="G898" s="16"/>
      <c r="H898" s="16"/>
    </row>
    <row r="899" ht="15.75" customHeight="1">
      <c r="D899" s="16"/>
      <c r="E899" s="16"/>
      <c r="F899" s="16"/>
      <c r="G899" s="16"/>
      <c r="H899" s="16"/>
    </row>
    <row r="900" ht="15.75" customHeight="1">
      <c r="D900" s="16"/>
      <c r="E900" s="16"/>
      <c r="F900" s="16"/>
      <c r="G900" s="16"/>
      <c r="H900" s="16"/>
    </row>
    <row r="901" ht="15.75" customHeight="1">
      <c r="D901" s="16"/>
      <c r="E901" s="16"/>
      <c r="F901" s="16"/>
      <c r="G901" s="16"/>
      <c r="H901" s="16"/>
    </row>
    <row r="902" ht="15.75" customHeight="1">
      <c r="D902" s="16"/>
      <c r="E902" s="16"/>
      <c r="F902" s="16"/>
      <c r="G902" s="16"/>
      <c r="H902" s="16"/>
    </row>
    <row r="903" ht="15.75" customHeight="1">
      <c r="D903" s="16"/>
      <c r="E903" s="16"/>
      <c r="F903" s="16"/>
      <c r="G903" s="16"/>
      <c r="H903" s="16"/>
    </row>
    <row r="904" ht="15.75" customHeight="1">
      <c r="D904" s="16"/>
      <c r="E904" s="16"/>
      <c r="F904" s="16"/>
      <c r="G904" s="16"/>
      <c r="H904" s="16"/>
    </row>
    <row r="905" ht="15.75" customHeight="1">
      <c r="D905" s="16"/>
      <c r="E905" s="16"/>
      <c r="F905" s="16"/>
      <c r="G905" s="16"/>
      <c r="H905" s="16"/>
    </row>
    <row r="906" ht="15.75" customHeight="1">
      <c r="D906" s="16"/>
      <c r="E906" s="16"/>
      <c r="F906" s="16"/>
      <c r="G906" s="16"/>
      <c r="H906" s="16"/>
    </row>
    <row r="907" ht="15.75" customHeight="1">
      <c r="D907" s="16"/>
      <c r="E907" s="16"/>
      <c r="F907" s="16"/>
      <c r="G907" s="16"/>
      <c r="H907" s="16"/>
    </row>
    <row r="908" ht="15.75" customHeight="1">
      <c r="D908" s="16"/>
      <c r="E908" s="16"/>
      <c r="F908" s="16"/>
      <c r="G908" s="16"/>
      <c r="H908" s="16"/>
    </row>
    <row r="909" ht="15.75" customHeight="1">
      <c r="D909" s="16"/>
      <c r="E909" s="16"/>
      <c r="F909" s="16"/>
      <c r="G909" s="16"/>
      <c r="H909" s="16"/>
    </row>
    <row r="910" ht="15.75" customHeight="1">
      <c r="D910" s="16"/>
      <c r="E910" s="16"/>
      <c r="F910" s="16"/>
      <c r="G910" s="16"/>
      <c r="H910" s="16"/>
    </row>
    <row r="911" ht="15.75" customHeight="1">
      <c r="D911" s="16"/>
      <c r="E911" s="16"/>
      <c r="F911" s="16"/>
      <c r="G911" s="16"/>
      <c r="H911" s="16"/>
    </row>
    <row r="912" ht="15.75" customHeight="1">
      <c r="D912" s="16"/>
      <c r="E912" s="16"/>
      <c r="F912" s="16"/>
      <c r="G912" s="16"/>
      <c r="H912" s="16"/>
    </row>
    <row r="913" ht="15.75" customHeight="1">
      <c r="D913" s="16"/>
      <c r="E913" s="16"/>
      <c r="F913" s="16"/>
      <c r="G913" s="16"/>
      <c r="H913" s="16"/>
    </row>
    <row r="914" ht="15.75" customHeight="1">
      <c r="D914" s="16"/>
      <c r="E914" s="16"/>
      <c r="F914" s="16"/>
      <c r="G914" s="16"/>
      <c r="H914" s="16"/>
    </row>
    <row r="915" ht="15.75" customHeight="1">
      <c r="D915" s="16"/>
      <c r="E915" s="16"/>
      <c r="F915" s="16"/>
      <c r="G915" s="16"/>
      <c r="H915" s="16"/>
    </row>
    <row r="916" ht="15.75" customHeight="1">
      <c r="D916" s="16"/>
      <c r="E916" s="16"/>
      <c r="F916" s="16"/>
      <c r="G916" s="16"/>
      <c r="H916" s="16"/>
    </row>
    <row r="917" ht="15.75" customHeight="1">
      <c r="D917" s="16"/>
      <c r="E917" s="16"/>
      <c r="F917" s="16"/>
      <c r="G917" s="16"/>
      <c r="H917" s="16"/>
    </row>
    <row r="918" ht="15.75" customHeight="1">
      <c r="D918" s="16"/>
      <c r="E918" s="16"/>
      <c r="F918" s="16"/>
      <c r="G918" s="16"/>
      <c r="H918" s="16"/>
    </row>
    <row r="919" ht="15.75" customHeight="1">
      <c r="D919" s="16"/>
      <c r="E919" s="16"/>
      <c r="F919" s="16"/>
      <c r="G919" s="16"/>
      <c r="H919" s="16"/>
    </row>
    <row r="920" ht="15.75" customHeight="1">
      <c r="D920" s="16"/>
      <c r="E920" s="16"/>
      <c r="F920" s="16"/>
      <c r="G920" s="16"/>
      <c r="H920" s="16"/>
    </row>
    <row r="921" ht="15.75" customHeight="1">
      <c r="D921" s="16"/>
      <c r="E921" s="16"/>
      <c r="F921" s="16"/>
      <c r="G921" s="16"/>
      <c r="H921" s="16"/>
    </row>
    <row r="922" ht="15.75" customHeight="1">
      <c r="D922" s="16"/>
      <c r="E922" s="16"/>
      <c r="F922" s="16"/>
      <c r="G922" s="16"/>
      <c r="H922" s="16"/>
    </row>
    <row r="923" ht="15.75" customHeight="1">
      <c r="D923" s="16"/>
      <c r="E923" s="16"/>
      <c r="F923" s="16"/>
      <c r="G923" s="16"/>
      <c r="H923" s="16"/>
    </row>
    <row r="924" ht="15.75" customHeight="1">
      <c r="D924" s="16"/>
      <c r="E924" s="16"/>
      <c r="F924" s="16"/>
      <c r="G924" s="16"/>
      <c r="H924" s="16"/>
    </row>
    <row r="925" ht="15.75" customHeight="1">
      <c r="D925" s="16"/>
      <c r="E925" s="16"/>
      <c r="F925" s="16"/>
      <c r="G925" s="16"/>
      <c r="H925" s="16"/>
    </row>
    <row r="926" ht="15.75" customHeight="1">
      <c r="D926" s="16"/>
      <c r="E926" s="16"/>
      <c r="F926" s="16"/>
      <c r="G926" s="16"/>
      <c r="H926" s="16"/>
    </row>
    <row r="927" ht="15.75" customHeight="1">
      <c r="D927" s="16"/>
      <c r="E927" s="16"/>
      <c r="F927" s="16"/>
      <c r="G927" s="16"/>
      <c r="H927" s="16"/>
    </row>
    <row r="928" ht="15.75" customHeight="1">
      <c r="D928" s="16"/>
      <c r="E928" s="16"/>
      <c r="F928" s="16"/>
      <c r="G928" s="16"/>
      <c r="H928" s="16"/>
    </row>
    <row r="929" ht="15.75" customHeight="1">
      <c r="D929" s="16"/>
      <c r="E929" s="16"/>
      <c r="F929" s="16"/>
      <c r="G929" s="16"/>
      <c r="H929" s="16"/>
    </row>
    <row r="930" ht="15.75" customHeight="1">
      <c r="D930" s="16"/>
      <c r="E930" s="16"/>
      <c r="F930" s="16"/>
      <c r="G930" s="16"/>
      <c r="H930" s="16"/>
    </row>
    <row r="931" ht="15.75" customHeight="1">
      <c r="D931" s="16"/>
      <c r="E931" s="16"/>
      <c r="F931" s="16"/>
      <c r="G931" s="16"/>
      <c r="H931" s="16"/>
    </row>
    <row r="932" ht="15.75" customHeight="1">
      <c r="D932" s="16"/>
      <c r="E932" s="16"/>
      <c r="F932" s="16"/>
      <c r="G932" s="16"/>
      <c r="H932" s="16"/>
    </row>
    <row r="933" ht="15.75" customHeight="1">
      <c r="D933" s="16"/>
      <c r="E933" s="16"/>
      <c r="F933" s="16"/>
      <c r="G933" s="16"/>
      <c r="H933" s="16"/>
    </row>
    <row r="934" ht="15.75" customHeight="1">
      <c r="D934" s="16"/>
      <c r="E934" s="16"/>
      <c r="F934" s="16"/>
      <c r="G934" s="16"/>
      <c r="H934" s="16"/>
    </row>
    <row r="935" ht="15.75" customHeight="1">
      <c r="D935" s="16"/>
      <c r="E935" s="16"/>
      <c r="F935" s="16"/>
      <c r="G935" s="16"/>
      <c r="H935" s="16"/>
    </row>
    <row r="936" ht="15.75" customHeight="1">
      <c r="D936" s="16"/>
      <c r="E936" s="16"/>
      <c r="F936" s="16"/>
      <c r="G936" s="16"/>
      <c r="H936" s="16"/>
    </row>
    <row r="937" ht="15.75" customHeight="1">
      <c r="D937" s="16"/>
      <c r="E937" s="16"/>
      <c r="F937" s="16"/>
      <c r="G937" s="16"/>
      <c r="H937" s="16"/>
    </row>
    <row r="938" ht="15.75" customHeight="1">
      <c r="D938" s="16"/>
      <c r="E938" s="16"/>
      <c r="F938" s="16"/>
      <c r="G938" s="16"/>
      <c r="H938" s="16"/>
    </row>
    <row r="939" ht="15.75" customHeight="1">
      <c r="D939" s="16"/>
      <c r="E939" s="16"/>
      <c r="F939" s="16"/>
      <c r="G939" s="16"/>
      <c r="H939" s="16"/>
    </row>
    <row r="940" ht="15.75" customHeight="1">
      <c r="D940" s="16"/>
      <c r="E940" s="16"/>
      <c r="F940" s="16"/>
      <c r="G940" s="16"/>
      <c r="H940" s="16"/>
    </row>
    <row r="941" ht="15.75" customHeight="1">
      <c r="D941" s="16"/>
      <c r="E941" s="16"/>
      <c r="F941" s="16"/>
      <c r="G941" s="16"/>
      <c r="H941" s="16"/>
    </row>
    <row r="942" ht="15.75" customHeight="1">
      <c r="D942" s="16"/>
      <c r="E942" s="16"/>
      <c r="F942" s="16"/>
      <c r="G942" s="16"/>
      <c r="H942" s="16"/>
    </row>
    <row r="943" ht="15.75" customHeight="1">
      <c r="D943" s="16"/>
      <c r="E943" s="16"/>
      <c r="F943" s="16"/>
      <c r="G943" s="16"/>
      <c r="H943" s="16"/>
    </row>
    <row r="944" ht="15.75" customHeight="1">
      <c r="D944" s="16"/>
      <c r="E944" s="16"/>
      <c r="F944" s="16"/>
      <c r="G944" s="16"/>
      <c r="H944" s="16"/>
    </row>
    <row r="945" ht="15.75" customHeight="1">
      <c r="D945" s="16"/>
      <c r="E945" s="16"/>
      <c r="F945" s="16"/>
      <c r="G945" s="16"/>
      <c r="H945" s="16"/>
    </row>
    <row r="946" ht="15.75" customHeight="1">
      <c r="D946" s="16"/>
      <c r="E946" s="16"/>
      <c r="F946" s="16"/>
      <c r="G946" s="16"/>
      <c r="H946" s="16"/>
    </row>
    <row r="947" ht="15.75" customHeight="1">
      <c r="D947" s="16"/>
      <c r="E947" s="16"/>
      <c r="F947" s="16"/>
      <c r="G947" s="16"/>
      <c r="H947" s="16"/>
    </row>
    <row r="948" ht="15.75" customHeight="1">
      <c r="D948" s="16"/>
      <c r="E948" s="16"/>
      <c r="F948" s="16"/>
      <c r="G948" s="16"/>
      <c r="H948" s="16"/>
    </row>
    <row r="949" ht="15.75" customHeight="1">
      <c r="D949" s="16"/>
      <c r="E949" s="16"/>
      <c r="F949" s="16"/>
      <c r="G949" s="16"/>
      <c r="H949" s="16"/>
    </row>
    <row r="950" ht="15.75" customHeight="1">
      <c r="D950" s="16"/>
      <c r="E950" s="16"/>
      <c r="F950" s="16"/>
      <c r="G950" s="16"/>
      <c r="H950" s="16"/>
    </row>
    <row r="951" ht="15.75" customHeight="1">
      <c r="D951" s="16"/>
      <c r="E951" s="16"/>
      <c r="F951" s="16"/>
      <c r="G951" s="16"/>
      <c r="H951" s="16"/>
    </row>
    <row r="952" ht="15.75" customHeight="1">
      <c r="D952" s="16"/>
      <c r="E952" s="16"/>
      <c r="F952" s="16"/>
      <c r="G952" s="16"/>
      <c r="H952" s="16"/>
    </row>
    <row r="953" ht="15.75" customHeight="1">
      <c r="D953" s="16"/>
      <c r="E953" s="16"/>
      <c r="F953" s="16"/>
      <c r="G953" s="16"/>
      <c r="H953" s="16"/>
    </row>
    <row r="954" ht="15.75" customHeight="1">
      <c r="D954" s="16"/>
      <c r="E954" s="16"/>
      <c r="F954" s="16"/>
      <c r="G954" s="16"/>
      <c r="H954" s="16"/>
    </row>
    <row r="955" ht="15.75" customHeight="1">
      <c r="D955" s="16"/>
      <c r="E955" s="16"/>
      <c r="F955" s="16"/>
      <c r="G955" s="16"/>
      <c r="H955" s="16"/>
    </row>
    <row r="956" ht="15.75" customHeight="1">
      <c r="D956" s="16"/>
      <c r="E956" s="16"/>
      <c r="F956" s="16"/>
      <c r="G956" s="16"/>
      <c r="H956" s="16"/>
    </row>
    <row r="957" ht="15.75" customHeight="1">
      <c r="D957" s="16"/>
      <c r="E957" s="16"/>
      <c r="F957" s="16"/>
      <c r="G957" s="16"/>
      <c r="H957" s="16"/>
    </row>
    <row r="958" ht="15.75" customHeight="1">
      <c r="D958" s="16"/>
      <c r="E958" s="16"/>
      <c r="F958" s="16"/>
      <c r="G958" s="16"/>
      <c r="H958" s="16"/>
    </row>
    <row r="959" ht="15.75" customHeight="1">
      <c r="D959" s="16"/>
      <c r="E959" s="16"/>
      <c r="F959" s="16"/>
      <c r="G959" s="16"/>
      <c r="H959" s="16"/>
    </row>
    <row r="960" ht="15.75" customHeight="1">
      <c r="D960" s="16"/>
      <c r="E960" s="16"/>
      <c r="F960" s="16"/>
      <c r="G960" s="16"/>
      <c r="H960" s="16"/>
    </row>
    <row r="961" ht="15.75" customHeight="1">
      <c r="D961" s="16"/>
      <c r="E961" s="16"/>
      <c r="F961" s="16"/>
      <c r="G961" s="16"/>
      <c r="H961" s="16"/>
    </row>
    <row r="962" ht="15.75" customHeight="1">
      <c r="D962" s="16"/>
      <c r="E962" s="16"/>
      <c r="F962" s="16"/>
      <c r="G962" s="16"/>
      <c r="H962" s="16"/>
    </row>
    <row r="963" ht="15.75" customHeight="1">
      <c r="D963" s="16"/>
      <c r="E963" s="16"/>
      <c r="F963" s="16"/>
      <c r="G963" s="16"/>
      <c r="H963" s="16"/>
    </row>
    <row r="964" ht="15.75" customHeight="1">
      <c r="D964" s="16"/>
      <c r="E964" s="16"/>
      <c r="F964" s="16"/>
      <c r="G964" s="16"/>
      <c r="H964" s="16"/>
    </row>
    <row r="965" ht="15.75" customHeight="1">
      <c r="D965" s="16"/>
      <c r="E965" s="16"/>
      <c r="F965" s="16"/>
      <c r="G965" s="16"/>
      <c r="H965" s="16"/>
    </row>
    <row r="966" ht="15.75" customHeight="1">
      <c r="D966" s="16"/>
      <c r="E966" s="16"/>
      <c r="F966" s="16"/>
      <c r="G966" s="16"/>
      <c r="H966" s="16"/>
    </row>
    <row r="967" ht="15.75" customHeight="1">
      <c r="D967" s="16"/>
      <c r="E967" s="16"/>
      <c r="F967" s="16"/>
      <c r="G967" s="16"/>
      <c r="H967" s="16"/>
    </row>
    <row r="968" ht="15.75" customHeight="1">
      <c r="D968" s="16"/>
      <c r="E968" s="16"/>
      <c r="F968" s="16"/>
      <c r="G968" s="16"/>
      <c r="H968" s="16"/>
    </row>
    <row r="969" ht="15.75" customHeight="1">
      <c r="D969" s="16"/>
      <c r="E969" s="16"/>
      <c r="F969" s="16"/>
      <c r="G969" s="16"/>
      <c r="H969" s="16"/>
    </row>
    <row r="970" ht="15.75" customHeight="1">
      <c r="D970" s="16"/>
      <c r="E970" s="16"/>
      <c r="F970" s="16"/>
      <c r="G970" s="16"/>
      <c r="H970" s="16"/>
    </row>
    <row r="971" ht="15.75" customHeight="1">
      <c r="D971" s="16"/>
      <c r="E971" s="16"/>
      <c r="F971" s="16"/>
      <c r="G971" s="16"/>
      <c r="H971" s="16"/>
    </row>
    <row r="972" ht="15.75" customHeight="1">
      <c r="D972" s="16"/>
      <c r="E972" s="16"/>
      <c r="F972" s="16"/>
      <c r="G972" s="16"/>
      <c r="H972" s="16"/>
    </row>
    <row r="973" ht="15.75" customHeight="1">
      <c r="D973" s="16"/>
      <c r="E973" s="16"/>
      <c r="F973" s="16"/>
      <c r="G973" s="16"/>
      <c r="H973" s="16"/>
    </row>
    <row r="974" ht="15.75" customHeight="1">
      <c r="D974" s="16"/>
      <c r="E974" s="16"/>
      <c r="F974" s="16"/>
      <c r="G974" s="16"/>
      <c r="H974" s="16"/>
    </row>
    <row r="975" ht="15.75" customHeight="1">
      <c r="D975" s="16"/>
      <c r="E975" s="16"/>
      <c r="F975" s="16"/>
      <c r="G975" s="16"/>
      <c r="H975" s="16"/>
    </row>
    <row r="976" ht="15.75" customHeight="1">
      <c r="D976" s="16"/>
      <c r="E976" s="16"/>
      <c r="F976" s="16"/>
      <c r="G976" s="16"/>
      <c r="H976" s="16"/>
    </row>
    <row r="977" ht="15.75" customHeight="1">
      <c r="D977" s="16"/>
      <c r="E977" s="16"/>
      <c r="F977" s="16"/>
      <c r="G977" s="16"/>
      <c r="H977" s="16"/>
    </row>
    <row r="978" ht="15.75" customHeight="1">
      <c r="D978" s="16"/>
      <c r="E978" s="16"/>
      <c r="F978" s="16"/>
      <c r="G978" s="16"/>
      <c r="H978" s="16"/>
    </row>
    <row r="979" ht="15.75" customHeight="1">
      <c r="D979" s="16"/>
      <c r="E979" s="16"/>
      <c r="F979" s="16"/>
      <c r="G979" s="16"/>
      <c r="H979" s="16"/>
    </row>
    <row r="980" ht="15.75" customHeight="1">
      <c r="D980" s="16"/>
      <c r="E980" s="16"/>
      <c r="F980" s="16"/>
      <c r="G980" s="16"/>
      <c r="H980" s="16"/>
    </row>
    <row r="981" ht="15.75" customHeight="1">
      <c r="D981" s="16"/>
      <c r="E981" s="16"/>
      <c r="F981" s="16"/>
      <c r="G981" s="16"/>
      <c r="H981" s="16"/>
    </row>
    <row r="982" ht="15.75" customHeight="1">
      <c r="D982" s="16"/>
      <c r="E982" s="16"/>
      <c r="F982" s="16"/>
      <c r="G982" s="16"/>
      <c r="H982" s="16"/>
    </row>
    <row r="983" ht="15.75" customHeight="1">
      <c r="D983" s="16"/>
      <c r="E983" s="16"/>
      <c r="F983" s="16"/>
      <c r="G983" s="16"/>
      <c r="H983" s="16"/>
    </row>
    <row r="984" ht="15.75" customHeight="1">
      <c r="D984" s="16"/>
      <c r="E984" s="16"/>
      <c r="F984" s="16"/>
      <c r="G984" s="16"/>
      <c r="H984" s="16"/>
    </row>
    <row r="985" ht="15.75" customHeight="1">
      <c r="D985" s="16"/>
      <c r="E985" s="16"/>
      <c r="F985" s="16"/>
      <c r="G985" s="16"/>
      <c r="H985" s="16"/>
    </row>
    <row r="986" ht="15.75" customHeight="1">
      <c r="D986" s="16"/>
      <c r="E986" s="16"/>
      <c r="F986" s="16"/>
      <c r="G986" s="16"/>
      <c r="H986" s="16"/>
    </row>
    <row r="987" ht="15.75" customHeight="1">
      <c r="D987" s="16"/>
      <c r="E987" s="16"/>
      <c r="F987" s="16"/>
      <c r="G987" s="16"/>
      <c r="H987" s="16"/>
    </row>
    <row r="988" ht="15.75" customHeight="1">
      <c r="D988" s="16"/>
      <c r="E988" s="16"/>
      <c r="F988" s="16"/>
      <c r="G988" s="16"/>
      <c r="H988" s="16"/>
    </row>
    <row r="989" ht="15.75" customHeight="1">
      <c r="D989" s="16"/>
      <c r="E989" s="16"/>
      <c r="F989" s="16"/>
      <c r="G989" s="16"/>
      <c r="H989" s="16"/>
    </row>
    <row r="990" ht="15.75" customHeight="1">
      <c r="D990" s="16"/>
      <c r="E990" s="16"/>
      <c r="F990" s="16"/>
      <c r="G990" s="16"/>
      <c r="H990" s="16"/>
    </row>
    <row r="991" ht="15.75" customHeight="1">
      <c r="D991" s="16"/>
      <c r="E991" s="16"/>
      <c r="F991" s="16"/>
      <c r="G991" s="16"/>
      <c r="H991" s="16"/>
    </row>
    <row r="992" ht="15.75" customHeight="1">
      <c r="D992" s="16"/>
      <c r="E992" s="16"/>
      <c r="F992" s="16"/>
      <c r="G992" s="16"/>
      <c r="H992" s="16"/>
    </row>
    <row r="993" ht="15.75" customHeight="1">
      <c r="D993" s="16"/>
      <c r="E993" s="16"/>
      <c r="F993" s="16"/>
      <c r="G993" s="16"/>
      <c r="H993" s="16"/>
    </row>
    <row r="994" ht="15.75" customHeight="1">
      <c r="D994" s="16"/>
      <c r="E994" s="16"/>
      <c r="F994" s="16"/>
      <c r="G994" s="16"/>
      <c r="H994" s="16"/>
    </row>
    <row r="995" ht="15.75" customHeight="1">
      <c r="D995" s="16"/>
      <c r="E995" s="16"/>
      <c r="F995" s="16"/>
      <c r="G995" s="16"/>
      <c r="H995" s="16"/>
    </row>
    <row r="996" ht="15.75" customHeight="1">
      <c r="D996" s="16"/>
      <c r="E996" s="16"/>
      <c r="F996" s="16"/>
      <c r="G996" s="16"/>
      <c r="H996" s="16"/>
    </row>
    <row r="997" ht="15.75" customHeight="1">
      <c r="D997" s="16"/>
      <c r="E997" s="16"/>
      <c r="F997" s="16"/>
      <c r="G997" s="16"/>
      <c r="H997" s="16"/>
    </row>
    <row r="998" ht="15.75" customHeight="1">
      <c r="D998" s="16"/>
      <c r="E998" s="16"/>
      <c r="F998" s="16"/>
      <c r="G998" s="16"/>
      <c r="H998" s="16"/>
    </row>
    <row r="999" ht="15.75" customHeight="1">
      <c r="D999" s="16"/>
      <c r="E999" s="16"/>
      <c r="F999" s="16"/>
      <c r="G999" s="16"/>
      <c r="H999" s="16"/>
    </row>
    <row r="1000" ht="15.75" customHeight="1">
      <c r="D1000" s="16"/>
      <c r="E1000" s="16"/>
      <c r="F1000" s="16"/>
      <c r="G1000" s="16"/>
      <c r="H1000" s="16"/>
    </row>
  </sheetData>
  <autoFilter ref="$A$1:$H$33">
    <sortState ref="A1:H33">
      <sortCondition ref="B1:B33"/>
    </sortState>
  </autoFilter>
  <mergeCells count="2">
    <mergeCell ref="K11:L11"/>
    <mergeCell ref="K18:M1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1.14"/>
    <col customWidth="1" min="3" max="3" width="21.57"/>
    <col customWidth="1" min="4" max="4" width="13.0"/>
    <col customWidth="1" min="5" max="5" width="15.43"/>
    <col customWidth="1" min="6" max="6" width="29.14"/>
    <col customWidth="1" min="7" max="26" width="10.71"/>
  </cols>
  <sheetData>
    <row r="1">
      <c r="A1" s="16" t="s">
        <v>339</v>
      </c>
      <c r="B1" s="16" t="s">
        <v>358</v>
      </c>
      <c r="C1" s="82">
        <v>2019.0</v>
      </c>
      <c r="D1" s="82">
        <v>2020.0</v>
      </c>
      <c r="E1" s="82">
        <v>2021.0</v>
      </c>
      <c r="F1" s="82">
        <v>2022.0</v>
      </c>
    </row>
    <row r="2">
      <c r="A2" s="82">
        <v>15001.0</v>
      </c>
      <c r="B2" s="82" t="s">
        <v>308</v>
      </c>
      <c r="C2" s="72">
        <v>7.083611373959371</v>
      </c>
      <c r="D2" s="72">
        <v>6.833836050988764</v>
      </c>
      <c r="E2" s="72">
        <v>6.759207296938499</v>
      </c>
      <c r="F2" s="72">
        <v>7.923406642241555</v>
      </c>
      <c r="G2" s="20"/>
    </row>
    <row r="3">
      <c r="B3" s="82" t="s">
        <v>305</v>
      </c>
      <c r="C3" s="76">
        <v>6.374004617355866</v>
      </c>
      <c r="D3" s="76">
        <v>6.491802048568327</v>
      </c>
      <c r="E3" s="76">
        <v>6.598260279385981</v>
      </c>
      <c r="F3" s="76">
        <v>7.454161662350053</v>
      </c>
    </row>
    <row r="4">
      <c r="B4" s="82" t="s">
        <v>315</v>
      </c>
      <c r="C4" s="76">
        <v>6.081155430011895</v>
      </c>
      <c r="D4" s="76">
        <v>5.847409181770957</v>
      </c>
      <c r="E4" s="76">
        <v>5.943323009379614</v>
      </c>
      <c r="F4" s="76">
        <v>6.349565475903669</v>
      </c>
    </row>
    <row r="5">
      <c r="B5" s="82" t="s">
        <v>309</v>
      </c>
      <c r="C5" s="76">
        <v>5.51790880209607</v>
      </c>
      <c r="D5" s="76">
        <v>5.798299318767848</v>
      </c>
      <c r="E5" s="76">
        <v>5.996011367060641</v>
      </c>
      <c r="F5" s="76">
        <v>6.303122919628732</v>
      </c>
    </row>
    <row r="6">
      <c r="B6" s="82" t="s">
        <v>310</v>
      </c>
      <c r="C6" s="76">
        <v>5.512386420441324</v>
      </c>
      <c r="D6" s="76">
        <v>5.491033202532943</v>
      </c>
      <c r="E6" s="76">
        <v>5.542996620455324</v>
      </c>
      <c r="F6" s="76">
        <v>5.638107871389799</v>
      </c>
    </row>
    <row r="7">
      <c r="B7" s="82" t="s">
        <v>316</v>
      </c>
      <c r="C7" s="76">
        <v>5.3127593437878495</v>
      </c>
      <c r="D7" s="76">
        <v>5.4469282471859515</v>
      </c>
      <c r="E7" s="76">
        <v>5.164261218450072</v>
      </c>
      <c r="F7" s="76">
        <v>5.454323796280236</v>
      </c>
    </row>
    <row r="8">
      <c r="B8" s="82" t="s">
        <v>313</v>
      </c>
      <c r="C8" s="76">
        <v>5.300703568453768</v>
      </c>
      <c r="D8" s="76">
        <v>5.089138530605934</v>
      </c>
      <c r="E8" s="76">
        <v>5.1209136823370836</v>
      </c>
      <c r="F8" s="76">
        <v>5.372930751801549</v>
      </c>
    </row>
    <row r="9">
      <c r="B9" s="82" t="s">
        <v>307</v>
      </c>
      <c r="C9" s="76">
        <v>5.241178700057905</v>
      </c>
      <c r="D9" s="76">
        <v>5.347655847923429</v>
      </c>
      <c r="E9" s="76">
        <v>5.575979486417603</v>
      </c>
      <c r="F9" s="76">
        <v>5.984713567472526</v>
      </c>
    </row>
    <row r="10">
      <c r="B10" s="82" t="s">
        <v>311</v>
      </c>
      <c r="C10" s="76">
        <v>4.7271391462882875</v>
      </c>
      <c r="D10" s="76">
        <v>4.805881928557071</v>
      </c>
      <c r="E10" s="76">
        <v>4.865081708864414</v>
      </c>
      <c r="F10" s="76">
        <v>5.329876681917643</v>
      </c>
    </row>
    <row r="11">
      <c r="B11" s="82" t="s">
        <v>306</v>
      </c>
      <c r="C11" s="76">
        <v>4.513466831990353</v>
      </c>
      <c r="D11" s="76">
        <v>4.664178532060998</v>
      </c>
      <c r="E11" s="76">
        <v>4.969257389142246</v>
      </c>
      <c r="F11" s="76">
        <v>5.414001529597659</v>
      </c>
    </row>
    <row r="12">
      <c r="B12" s="82" t="s">
        <v>320</v>
      </c>
      <c r="C12" s="76">
        <v>4.441348868780807</v>
      </c>
      <c r="D12" s="76">
        <v>4.564212317795891</v>
      </c>
      <c r="E12" s="76">
        <v>4.641892474491884</v>
      </c>
      <c r="F12" s="76">
        <v>4.9266130475974155</v>
      </c>
    </row>
    <row r="13">
      <c r="B13" s="82" t="s">
        <v>314</v>
      </c>
      <c r="C13" s="76">
        <v>4.256621716964913</v>
      </c>
      <c r="D13" s="76">
        <v>4.1620814675168365</v>
      </c>
      <c r="E13" s="76">
        <v>4.368249921115282</v>
      </c>
      <c r="F13" s="76">
        <v>4.722187808787259</v>
      </c>
    </row>
    <row r="14">
      <c r="B14" s="82" t="s">
        <v>312</v>
      </c>
      <c r="C14" s="76">
        <v>4.171931037454403</v>
      </c>
      <c r="D14" s="76">
        <v>4.295662730746466</v>
      </c>
      <c r="E14" s="76">
        <v>4.330593404357615</v>
      </c>
      <c r="F14" s="76">
        <v>4.730616325696964</v>
      </c>
    </row>
    <row r="15">
      <c r="B15" s="82" t="s">
        <v>319</v>
      </c>
      <c r="C15" s="76">
        <v>3.8336635820671523</v>
      </c>
      <c r="D15" s="76">
        <v>3.6060794797869744</v>
      </c>
      <c r="E15" s="76">
        <v>3.5517219721999687</v>
      </c>
      <c r="F15" s="76">
        <v>3.740407930676054</v>
      </c>
    </row>
    <row r="16">
      <c r="B16" s="82" t="s">
        <v>324</v>
      </c>
      <c r="C16" s="76">
        <v>3.810169042201894</v>
      </c>
      <c r="D16" s="76">
        <v>3.7142692438147895</v>
      </c>
      <c r="E16" s="76">
        <v>3.725936387992662</v>
      </c>
      <c r="F16" s="76">
        <v>4.146292222917757</v>
      </c>
    </row>
    <row r="17">
      <c r="B17" s="82" t="s">
        <v>317</v>
      </c>
      <c r="C17" s="76">
        <v>3.6944665943133197</v>
      </c>
      <c r="D17" s="76">
        <v>3.761556316580844</v>
      </c>
      <c r="E17" s="76">
        <v>3.8720444633946722</v>
      </c>
      <c r="F17" s="76">
        <v>4.274120942225152</v>
      </c>
    </row>
    <row r="18">
      <c r="B18" s="82" t="s">
        <v>321</v>
      </c>
      <c r="C18" s="76">
        <v>3.4209146699464155</v>
      </c>
      <c r="D18" s="76">
        <v>3.3641000232389215</v>
      </c>
      <c r="E18" s="76">
        <v>3.459008408531865</v>
      </c>
      <c r="F18" s="76">
        <v>3.7533419009602564</v>
      </c>
    </row>
    <row r="19">
      <c r="B19" s="82" t="s">
        <v>327</v>
      </c>
      <c r="C19" s="76">
        <v>3.4132868429092333</v>
      </c>
      <c r="D19" s="76">
        <v>3.1501348244986946</v>
      </c>
      <c r="E19" s="76">
        <v>3.5066164638109134</v>
      </c>
      <c r="F19" s="76">
        <v>3.739752672737995</v>
      </c>
    </row>
    <row r="20">
      <c r="B20" s="82" t="s">
        <v>318</v>
      </c>
      <c r="C20" s="76">
        <v>3.3889716375658994</v>
      </c>
      <c r="D20" s="76">
        <v>3.369378038406898</v>
      </c>
      <c r="E20" s="76">
        <v>3.4721828399116568</v>
      </c>
      <c r="F20" s="76">
        <v>3.9243311030184658</v>
      </c>
    </row>
    <row r="21" ht="15.75" customHeight="1">
      <c r="B21" s="82" t="s">
        <v>322</v>
      </c>
      <c r="C21" s="76">
        <v>3.202396182016914</v>
      </c>
      <c r="D21" s="76">
        <v>3.4222287693259097</v>
      </c>
      <c r="E21" s="76">
        <v>3.8124842140138475</v>
      </c>
      <c r="F21" s="76">
        <v>3.760002811600034</v>
      </c>
    </row>
    <row r="22" ht="15.75" customHeight="1">
      <c r="B22" s="82" t="s">
        <v>332</v>
      </c>
      <c r="C22" s="76">
        <v>2.8884657183381055</v>
      </c>
      <c r="D22" s="76">
        <v>2.8225967420471134</v>
      </c>
      <c r="E22" s="76">
        <v>2.86166420318691</v>
      </c>
      <c r="F22" s="76">
        <v>2.71715412767005</v>
      </c>
    </row>
    <row r="23" ht="15.75" customHeight="1">
      <c r="B23" s="82" t="s">
        <v>328</v>
      </c>
      <c r="C23" s="76">
        <v>2.8098870382011905</v>
      </c>
      <c r="D23" s="76">
        <v>3.1181525429143453</v>
      </c>
      <c r="E23" s="76">
        <v>2.997215994180923</v>
      </c>
      <c r="F23" s="76">
        <v>3.6271612723581725</v>
      </c>
    </row>
    <row r="24" ht="15.75" customHeight="1">
      <c r="B24" s="82" t="s">
        <v>323</v>
      </c>
      <c r="C24" s="76">
        <v>2.7414846994545155</v>
      </c>
      <c r="D24" s="76">
        <v>2.879421513978242</v>
      </c>
      <c r="E24" s="76">
        <v>2.982247918456473</v>
      </c>
      <c r="F24" s="76">
        <v>3.4377732753364185</v>
      </c>
    </row>
    <row r="25" ht="15.75" customHeight="1">
      <c r="B25" s="82" t="s">
        <v>326</v>
      </c>
      <c r="C25" s="76">
        <v>2.649635841354999</v>
      </c>
      <c r="D25" s="76">
        <v>2.6198202621554936</v>
      </c>
      <c r="E25" s="76">
        <v>2.5414856220475195</v>
      </c>
      <c r="F25" s="76">
        <v>3.069952952699773</v>
      </c>
    </row>
    <row r="26" ht="15.75" customHeight="1">
      <c r="B26" s="82" t="s">
        <v>330</v>
      </c>
      <c r="C26" s="76">
        <v>2.5823544790614554</v>
      </c>
      <c r="D26" s="76">
        <v>2.588419466169018</v>
      </c>
      <c r="E26" s="76">
        <v>2.8167612118122247</v>
      </c>
      <c r="F26" s="76">
        <v>2.723733257203937</v>
      </c>
    </row>
    <row r="27" ht="15.75" customHeight="1">
      <c r="B27" s="82" t="s">
        <v>325</v>
      </c>
      <c r="C27" s="76">
        <v>2.349820176988973</v>
      </c>
      <c r="D27" s="76">
        <v>2.4580536656387855</v>
      </c>
      <c r="E27" s="76">
        <v>2.544255306977123</v>
      </c>
      <c r="F27" s="76">
        <v>2.7326317316983673</v>
      </c>
    </row>
    <row r="28" ht="15.75" customHeight="1">
      <c r="B28" s="82" t="s">
        <v>331</v>
      </c>
      <c r="C28" s="76">
        <v>2.2079964550692655</v>
      </c>
      <c r="D28" s="76">
        <v>2.0367513089747966</v>
      </c>
      <c r="E28" s="76">
        <v>2.088769649298855</v>
      </c>
      <c r="F28" s="76">
        <v>2.0870761107556475</v>
      </c>
    </row>
    <row r="29" ht="15.75" customHeight="1">
      <c r="B29" s="82" t="s">
        <v>334</v>
      </c>
      <c r="C29" s="76">
        <v>2.186612004096569</v>
      </c>
      <c r="D29" s="76">
        <v>2.03257754837726</v>
      </c>
      <c r="E29" s="76">
        <v>2.181899263814531</v>
      </c>
      <c r="F29" s="76">
        <v>1.6382557130828248</v>
      </c>
    </row>
    <row r="30" ht="15.75" customHeight="1">
      <c r="B30" s="82" t="s">
        <v>329</v>
      </c>
      <c r="C30" s="76">
        <v>1.8188258294328477</v>
      </c>
      <c r="D30" s="76">
        <v>1.739052880468197</v>
      </c>
      <c r="E30" s="76">
        <v>1.7042855109390964</v>
      </c>
      <c r="F30" s="76">
        <v>2.0061974654943513</v>
      </c>
    </row>
    <row r="31" ht="15.75" customHeight="1">
      <c r="B31" s="82" t="s">
        <v>333</v>
      </c>
      <c r="C31" s="76">
        <v>1.6344946395276116</v>
      </c>
      <c r="D31" s="76">
        <v>1.6473743608972042</v>
      </c>
      <c r="E31" s="76">
        <v>1.6004602248293887</v>
      </c>
      <c r="F31" s="76">
        <v>1.3164448424813968</v>
      </c>
    </row>
    <row r="32" ht="15.75" customHeight="1">
      <c r="B32" s="82" t="s">
        <v>335</v>
      </c>
      <c r="C32" s="76">
        <v>0.5792691447474407</v>
      </c>
      <c r="D32" s="76">
        <v>0.6059809305505214</v>
      </c>
      <c r="E32" s="76">
        <v>0.8879036282021319</v>
      </c>
      <c r="F32" s="76">
        <v>0.7456715900518006</v>
      </c>
    </row>
    <row r="33" ht="15.75" customHeight="1">
      <c r="B33" s="82" t="s">
        <v>336</v>
      </c>
      <c r="C33" s="76">
        <v>0.46415887201085604</v>
      </c>
      <c r="D33" s="76">
        <v>0.6042803404361653</v>
      </c>
      <c r="E33" s="76">
        <v>0.5814356571889813</v>
      </c>
      <c r="F33" s="76">
        <v>0.6193305356382195</v>
      </c>
    </row>
    <row r="34" ht="15.75" customHeight="1">
      <c r="C34" s="79"/>
      <c r="D34" s="79"/>
      <c r="E34" s="79"/>
      <c r="F34" s="79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F$33">
    <sortState ref="B1:F33">
      <sortCondition descending="1" ref="C1:C33"/>
    </sortState>
  </autoFilter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1.29"/>
    <col customWidth="1" min="3" max="6" width="4.86"/>
    <col customWidth="1" min="7" max="7" width="11.86"/>
    <col customWidth="1" min="8" max="12" width="10.71"/>
    <col customWidth="1" min="13" max="13" width="1.86"/>
    <col customWidth="1" min="14" max="26" width="10.71"/>
  </cols>
  <sheetData>
    <row r="1" ht="14.25" customHeight="1"/>
    <row r="2" ht="14.25" customHeight="1"/>
    <row r="3" ht="14.25" customHeight="1"/>
    <row r="4" ht="14.25" customHeight="1">
      <c r="G4" s="16" t="s">
        <v>359</v>
      </c>
      <c r="H4" s="15" t="s">
        <v>15</v>
      </c>
      <c r="I4" s="15" t="s">
        <v>20</v>
      </c>
      <c r="J4" s="15" t="s">
        <v>25</v>
      </c>
      <c r="K4" s="15" t="s">
        <v>29</v>
      </c>
      <c r="L4" s="15" t="s">
        <v>32</v>
      </c>
    </row>
    <row r="5" ht="14.25" customHeight="1">
      <c r="G5" s="16" t="str">
        <f t="shared" ref="G5:L5" si="1">A5</f>
        <v>Arauca</v>
      </c>
      <c r="H5" s="88" t="str">
        <f t="shared" si="1"/>
        <v/>
      </c>
      <c r="I5" s="88" t="str">
        <f t="shared" si="1"/>
        <v/>
      </c>
      <c r="J5" s="88" t="str">
        <f t="shared" si="1"/>
        <v/>
      </c>
      <c r="K5" s="88" t="str">
        <f t="shared" si="1"/>
        <v/>
      </c>
      <c r="L5" s="88" t="str">
        <f t="shared" si="1"/>
        <v/>
      </c>
      <c r="M5" s="16">
        <v>1.0</v>
      </c>
    </row>
    <row r="6" ht="14.25" customHeight="1">
      <c r="G6" s="16" t="str">
        <f t="shared" ref="G6:L6" si="2">A6</f>
        <v>Armenia</v>
      </c>
      <c r="H6" s="88" t="str">
        <f t="shared" si="2"/>
        <v/>
      </c>
      <c r="I6" s="88" t="str">
        <f t="shared" si="2"/>
        <v/>
      </c>
      <c r="J6" s="88" t="str">
        <f t="shared" si="2"/>
        <v/>
      </c>
      <c r="K6" s="88" t="str">
        <f t="shared" si="2"/>
        <v/>
      </c>
      <c r="L6" s="88" t="str">
        <f t="shared" si="2"/>
        <v/>
      </c>
      <c r="M6" s="16">
        <v>1.0</v>
      </c>
    </row>
    <row r="7" ht="14.25" customHeight="1">
      <c r="G7" s="16" t="str">
        <f t="shared" ref="G7:L7" si="3">A7</f>
        <v>Barranquilla AM</v>
      </c>
      <c r="H7" s="88" t="str">
        <f t="shared" si="3"/>
        <v/>
      </c>
      <c r="I7" s="88" t="str">
        <f t="shared" si="3"/>
        <v/>
      </c>
      <c r="J7" s="88" t="str">
        <f t="shared" si="3"/>
        <v/>
      </c>
      <c r="K7" s="88" t="str">
        <f t="shared" si="3"/>
        <v/>
      </c>
      <c r="L7" s="88" t="str">
        <f t="shared" si="3"/>
        <v/>
      </c>
      <c r="M7" s="16">
        <v>1.0</v>
      </c>
    </row>
    <row r="8" ht="14.25" customHeight="1">
      <c r="G8" s="16" t="str">
        <f t="shared" ref="G8:L8" si="4">A8</f>
        <v>Bogotá D.C.</v>
      </c>
      <c r="H8" s="88" t="str">
        <f t="shared" si="4"/>
        <v/>
      </c>
      <c r="I8" s="88" t="str">
        <f t="shared" si="4"/>
        <v/>
      </c>
      <c r="J8" s="88" t="str">
        <f t="shared" si="4"/>
        <v/>
      </c>
      <c r="K8" s="88" t="str">
        <f t="shared" si="4"/>
        <v/>
      </c>
      <c r="L8" s="88" t="str">
        <f t="shared" si="4"/>
        <v/>
      </c>
      <c r="M8" s="16">
        <v>1.0</v>
      </c>
    </row>
    <row r="9" ht="14.25" customHeight="1">
      <c r="G9" s="16" t="str">
        <f t="shared" ref="G9:L9" si="5">A9</f>
        <v>Bucaramanga AM</v>
      </c>
      <c r="H9" s="88" t="str">
        <f t="shared" si="5"/>
        <v/>
      </c>
      <c r="I9" s="88" t="str">
        <f t="shared" si="5"/>
        <v/>
      </c>
      <c r="J9" s="88" t="str">
        <f t="shared" si="5"/>
        <v/>
      </c>
      <c r="K9" s="88" t="str">
        <f t="shared" si="5"/>
        <v/>
      </c>
      <c r="L9" s="88" t="str">
        <f t="shared" si="5"/>
        <v/>
      </c>
      <c r="M9" s="16">
        <v>1.0</v>
      </c>
    </row>
    <row r="10" ht="14.25" customHeight="1">
      <c r="G10" s="16" t="str">
        <f t="shared" ref="G10:L10" si="6">A10</f>
        <v>Cali AM</v>
      </c>
      <c r="H10" s="88" t="str">
        <f t="shared" si="6"/>
        <v/>
      </c>
      <c r="I10" s="88" t="str">
        <f t="shared" si="6"/>
        <v/>
      </c>
      <c r="J10" s="88" t="str">
        <f t="shared" si="6"/>
        <v/>
      </c>
      <c r="K10" s="88" t="str">
        <f t="shared" si="6"/>
        <v/>
      </c>
      <c r="L10" s="88" t="str">
        <f t="shared" si="6"/>
        <v/>
      </c>
      <c r="M10" s="16">
        <v>1.0</v>
      </c>
    </row>
    <row r="11" ht="14.25" customHeight="1">
      <c r="G11" s="16" t="str">
        <f t="shared" ref="G11:L11" si="7">A11</f>
        <v>Cartagena</v>
      </c>
      <c r="H11" s="88" t="str">
        <f t="shared" si="7"/>
        <v/>
      </c>
      <c r="I11" s="88" t="str">
        <f t="shared" si="7"/>
        <v/>
      </c>
      <c r="J11" s="88" t="str">
        <f t="shared" si="7"/>
        <v/>
      </c>
      <c r="K11" s="88" t="str">
        <f t="shared" si="7"/>
        <v/>
      </c>
      <c r="L11" s="88" t="str">
        <f t="shared" si="7"/>
        <v/>
      </c>
      <c r="M11" s="16">
        <v>1.0</v>
      </c>
    </row>
    <row r="12" ht="14.25" customHeight="1">
      <c r="G12" s="16" t="str">
        <f t="shared" ref="G12:L12" si="8">A12</f>
        <v>Cúcuta AM</v>
      </c>
      <c r="H12" s="88" t="str">
        <f t="shared" si="8"/>
        <v/>
      </c>
      <c r="I12" s="88" t="str">
        <f t="shared" si="8"/>
        <v/>
      </c>
      <c r="J12" s="88" t="str">
        <f t="shared" si="8"/>
        <v/>
      </c>
      <c r="K12" s="88" t="str">
        <f t="shared" si="8"/>
        <v/>
      </c>
      <c r="L12" s="88" t="str">
        <f t="shared" si="8"/>
        <v/>
      </c>
      <c r="M12" s="16">
        <v>1.0</v>
      </c>
    </row>
    <row r="13" ht="14.25" customHeight="1">
      <c r="G13" s="16" t="str">
        <f t="shared" ref="G13:L13" si="9">A13</f>
        <v>Florencia</v>
      </c>
      <c r="H13" s="88" t="str">
        <f t="shared" si="9"/>
        <v/>
      </c>
      <c r="I13" s="88" t="str">
        <f t="shared" si="9"/>
        <v/>
      </c>
      <c r="J13" s="88" t="str">
        <f t="shared" si="9"/>
        <v/>
      </c>
      <c r="K13" s="88" t="str">
        <f t="shared" si="9"/>
        <v/>
      </c>
      <c r="L13" s="88" t="str">
        <f t="shared" si="9"/>
        <v/>
      </c>
      <c r="M13" s="16">
        <v>1.0</v>
      </c>
    </row>
    <row r="14" ht="14.25" customHeight="1">
      <c r="G14" s="16" t="str">
        <f t="shared" ref="G14:L14" si="10">A14</f>
        <v>Ibagué</v>
      </c>
      <c r="H14" s="88" t="str">
        <f t="shared" si="10"/>
        <v/>
      </c>
      <c r="I14" s="88" t="str">
        <f t="shared" si="10"/>
        <v/>
      </c>
      <c r="J14" s="88" t="str">
        <f t="shared" si="10"/>
        <v/>
      </c>
      <c r="K14" s="88" t="str">
        <f t="shared" si="10"/>
        <v/>
      </c>
      <c r="L14" s="88" t="str">
        <f t="shared" si="10"/>
        <v/>
      </c>
      <c r="M14" s="16">
        <v>1.0</v>
      </c>
    </row>
    <row r="15" ht="14.25" customHeight="1">
      <c r="G15" s="16" t="str">
        <f t="shared" ref="G15:L15" si="11">A15</f>
        <v>Inírida</v>
      </c>
      <c r="H15" s="88" t="str">
        <f t="shared" si="11"/>
        <v/>
      </c>
      <c r="I15" s="88" t="str">
        <f t="shared" si="11"/>
        <v/>
      </c>
      <c r="J15" s="88" t="str">
        <f t="shared" si="11"/>
        <v/>
      </c>
      <c r="K15" s="88" t="str">
        <f t="shared" si="11"/>
        <v/>
      </c>
      <c r="L15" s="88" t="str">
        <f t="shared" si="11"/>
        <v/>
      </c>
      <c r="M15" s="16">
        <v>1.0</v>
      </c>
    </row>
    <row r="16" ht="14.25" customHeight="1">
      <c r="G16" s="16" t="str">
        <f t="shared" ref="G16:L16" si="12">A16</f>
        <v>Leticia</v>
      </c>
      <c r="H16" s="88" t="str">
        <f t="shared" si="12"/>
        <v/>
      </c>
      <c r="I16" s="88" t="str">
        <f t="shared" si="12"/>
        <v/>
      </c>
      <c r="J16" s="88" t="str">
        <f t="shared" si="12"/>
        <v/>
      </c>
      <c r="K16" s="88" t="str">
        <f t="shared" si="12"/>
        <v/>
      </c>
      <c r="L16" s="88" t="str">
        <f t="shared" si="12"/>
        <v/>
      </c>
      <c r="M16" s="16">
        <v>1.0</v>
      </c>
    </row>
    <row r="17" ht="14.25" customHeight="1">
      <c r="G17" s="16" t="str">
        <f t="shared" ref="G17:L17" si="13">A17</f>
        <v>Manizales AM</v>
      </c>
      <c r="H17" s="88" t="str">
        <f t="shared" si="13"/>
        <v/>
      </c>
      <c r="I17" s="88" t="str">
        <f t="shared" si="13"/>
        <v/>
      </c>
      <c r="J17" s="88" t="str">
        <f t="shared" si="13"/>
        <v/>
      </c>
      <c r="K17" s="88" t="str">
        <f t="shared" si="13"/>
        <v/>
      </c>
      <c r="L17" s="88" t="str">
        <f t="shared" si="13"/>
        <v/>
      </c>
      <c r="M17" s="16">
        <v>1.0</v>
      </c>
    </row>
    <row r="18" ht="14.25" customHeight="1">
      <c r="G18" s="16" t="str">
        <f t="shared" ref="G18:L18" si="14">A18</f>
        <v>Medellín AM</v>
      </c>
      <c r="H18" s="88" t="str">
        <f t="shared" si="14"/>
        <v/>
      </c>
      <c r="I18" s="88" t="str">
        <f t="shared" si="14"/>
        <v/>
      </c>
      <c r="J18" s="88" t="str">
        <f t="shared" si="14"/>
        <v/>
      </c>
      <c r="K18" s="88" t="str">
        <f t="shared" si="14"/>
        <v/>
      </c>
      <c r="L18" s="88" t="str">
        <f t="shared" si="14"/>
        <v/>
      </c>
      <c r="M18" s="16">
        <v>1.0</v>
      </c>
    </row>
    <row r="19" ht="14.25" customHeight="1">
      <c r="G19" s="16" t="str">
        <f t="shared" ref="G19:L19" si="15">A19</f>
        <v>Mitú</v>
      </c>
      <c r="H19" s="88" t="str">
        <f t="shared" si="15"/>
        <v/>
      </c>
      <c r="I19" s="88" t="str">
        <f t="shared" si="15"/>
        <v/>
      </c>
      <c r="J19" s="88" t="str">
        <f t="shared" si="15"/>
        <v/>
      </c>
      <c r="K19" s="88" t="str">
        <f t="shared" si="15"/>
        <v/>
      </c>
      <c r="L19" s="88" t="str">
        <f t="shared" si="15"/>
        <v/>
      </c>
      <c r="M19" s="16">
        <v>1.0</v>
      </c>
    </row>
    <row r="20" ht="14.25" customHeight="1">
      <c r="G20" s="16" t="str">
        <f t="shared" ref="G20:L20" si="16">A20</f>
        <v>Mocoa</v>
      </c>
      <c r="H20" s="88" t="str">
        <f t="shared" si="16"/>
        <v/>
      </c>
      <c r="I20" s="88" t="str">
        <f t="shared" si="16"/>
        <v/>
      </c>
      <c r="J20" s="88" t="str">
        <f t="shared" si="16"/>
        <v/>
      </c>
      <c r="K20" s="88" t="str">
        <f t="shared" si="16"/>
        <v/>
      </c>
      <c r="L20" s="88" t="str">
        <f t="shared" si="16"/>
        <v/>
      </c>
      <c r="M20" s="16">
        <v>1.0</v>
      </c>
    </row>
    <row r="21" ht="14.25" customHeight="1">
      <c r="G21" s="16" t="str">
        <f t="shared" ref="G21:L21" si="17">A21</f>
        <v>Montería</v>
      </c>
      <c r="H21" s="88" t="str">
        <f t="shared" si="17"/>
        <v/>
      </c>
      <c r="I21" s="88" t="str">
        <f t="shared" si="17"/>
        <v/>
      </c>
      <c r="J21" s="88" t="str">
        <f t="shared" si="17"/>
        <v/>
      </c>
      <c r="K21" s="88" t="str">
        <f t="shared" si="17"/>
        <v/>
      </c>
      <c r="L21" s="88" t="str">
        <f t="shared" si="17"/>
        <v/>
      </c>
      <c r="M21" s="16">
        <v>1.0</v>
      </c>
    </row>
    <row r="22" ht="14.25" customHeight="1">
      <c r="G22" s="16" t="str">
        <f t="shared" ref="G22:L22" si="18">A22</f>
        <v>Neiva</v>
      </c>
      <c r="H22" s="88" t="str">
        <f t="shared" si="18"/>
        <v/>
      </c>
      <c r="I22" s="88" t="str">
        <f t="shared" si="18"/>
        <v/>
      </c>
      <c r="J22" s="88" t="str">
        <f t="shared" si="18"/>
        <v/>
      </c>
      <c r="K22" s="88" t="str">
        <f t="shared" si="18"/>
        <v/>
      </c>
      <c r="L22" s="88" t="str">
        <f t="shared" si="18"/>
        <v/>
      </c>
      <c r="M22" s="16">
        <v>1.0</v>
      </c>
    </row>
    <row r="23" ht="14.25" customHeight="1">
      <c r="G23" s="16" t="str">
        <f t="shared" ref="G23:L23" si="19">A23</f>
        <v>Pasto</v>
      </c>
      <c r="H23" s="88" t="str">
        <f t="shared" si="19"/>
        <v/>
      </c>
      <c r="I23" s="88" t="str">
        <f t="shared" si="19"/>
        <v/>
      </c>
      <c r="J23" s="88" t="str">
        <f t="shared" si="19"/>
        <v/>
      </c>
      <c r="K23" s="88" t="str">
        <f t="shared" si="19"/>
        <v/>
      </c>
      <c r="L23" s="88" t="str">
        <f t="shared" si="19"/>
        <v/>
      </c>
      <c r="M23" s="16">
        <v>1.0</v>
      </c>
    </row>
    <row r="24" ht="14.25" customHeight="1">
      <c r="G24" s="16" t="str">
        <f t="shared" ref="G24:L24" si="20">A24</f>
        <v>Pereira AM</v>
      </c>
      <c r="H24" s="88" t="str">
        <f t="shared" si="20"/>
        <v/>
      </c>
      <c r="I24" s="88" t="str">
        <f t="shared" si="20"/>
        <v/>
      </c>
      <c r="J24" s="88" t="str">
        <f t="shared" si="20"/>
        <v/>
      </c>
      <c r="K24" s="88" t="str">
        <f t="shared" si="20"/>
        <v/>
      </c>
      <c r="L24" s="88" t="str">
        <f t="shared" si="20"/>
        <v/>
      </c>
      <c r="M24" s="16">
        <v>1.0</v>
      </c>
    </row>
    <row r="25" ht="14.25" customHeight="1">
      <c r="G25" s="16" t="str">
        <f t="shared" ref="G25:L25" si="21">A25</f>
        <v>Popayán</v>
      </c>
      <c r="H25" s="88" t="str">
        <f t="shared" si="21"/>
        <v/>
      </c>
      <c r="I25" s="88" t="str">
        <f t="shared" si="21"/>
        <v/>
      </c>
      <c r="J25" s="88" t="str">
        <f t="shared" si="21"/>
        <v/>
      </c>
      <c r="K25" s="88" t="str">
        <f t="shared" si="21"/>
        <v/>
      </c>
      <c r="L25" s="88" t="str">
        <f t="shared" si="21"/>
        <v/>
      </c>
      <c r="M25" s="16">
        <v>1.0</v>
      </c>
    </row>
    <row r="26" ht="14.25" customHeight="1">
      <c r="G26" s="16" t="str">
        <f t="shared" ref="G26:L26" si="22">A26</f>
        <v>Puerto Carreño</v>
      </c>
      <c r="H26" s="88" t="str">
        <f t="shared" si="22"/>
        <v/>
      </c>
      <c r="I26" s="88" t="str">
        <f t="shared" si="22"/>
        <v/>
      </c>
      <c r="J26" s="88" t="str">
        <f t="shared" si="22"/>
        <v/>
      </c>
      <c r="K26" s="88" t="str">
        <f t="shared" si="22"/>
        <v/>
      </c>
      <c r="L26" s="88" t="str">
        <f t="shared" si="22"/>
        <v/>
      </c>
      <c r="M26" s="16">
        <v>1.0</v>
      </c>
    </row>
    <row r="27" ht="14.25" customHeight="1">
      <c r="G27" s="16" t="str">
        <f t="shared" ref="G27:L27" si="23">A27</f>
        <v>Quibdó</v>
      </c>
      <c r="H27" s="88" t="str">
        <f t="shared" si="23"/>
        <v/>
      </c>
      <c r="I27" s="88" t="str">
        <f t="shared" si="23"/>
        <v/>
      </c>
      <c r="J27" s="88" t="str">
        <f t="shared" si="23"/>
        <v/>
      </c>
      <c r="K27" s="88" t="str">
        <f t="shared" si="23"/>
        <v/>
      </c>
      <c r="L27" s="88" t="str">
        <f t="shared" si="23"/>
        <v/>
      </c>
      <c r="M27" s="16">
        <v>1.0</v>
      </c>
    </row>
    <row r="28" ht="14.25" customHeight="1">
      <c r="G28" s="16" t="str">
        <f t="shared" ref="G28:L28" si="24">A28</f>
        <v>Riohacha</v>
      </c>
      <c r="H28" s="88" t="str">
        <f t="shared" si="24"/>
        <v/>
      </c>
      <c r="I28" s="88" t="str">
        <f t="shared" si="24"/>
        <v/>
      </c>
      <c r="J28" s="88" t="str">
        <f t="shared" si="24"/>
        <v/>
      </c>
      <c r="K28" s="88" t="str">
        <f t="shared" si="24"/>
        <v/>
      </c>
      <c r="L28" s="88" t="str">
        <f t="shared" si="24"/>
        <v/>
      </c>
      <c r="M28" s="16">
        <v>1.0</v>
      </c>
    </row>
    <row r="29" ht="14.25" customHeight="1">
      <c r="G29" s="16" t="str">
        <f t="shared" ref="G29:L29" si="25">A29</f>
        <v>San Andrés</v>
      </c>
      <c r="H29" s="88" t="str">
        <f t="shared" si="25"/>
        <v/>
      </c>
      <c r="I29" s="88" t="str">
        <f t="shared" si="25"/>
        <v/>
      </c>
      <c r="J29" s="88" t="str">
        <f t="shared" si="25"/>
        <v/>
      </c>
      <c r="K29" s="88" t="str">
        <f t="shared" si="25"/>
        <v/>
      </c>
      <c r="L29" s="88" t="str">
        <f t="shared" si="25"/>
        <v/>
      </c>
      <c r="M29" s="16">
        <v>1.0</v>
      </c>
    </row>
    <row r="30" ht="14.25" customHeight="1">
      <c r="G30" s="16" t="str">
        <f t="shared" ref="G30:L30" si="26">A30</f>
        <v>San José del Guaviare</v>
      </c>
      <c r="H30" s="88" t="str">
        <f t="shared" si="26"/>
        <v/>
      </c>
      <c r="I30" s="88" t="str">
        <f t="shared" si="26"/>
        <v/>
      </c>
      <c r="J30" s="88" t="str">
        <f t="shared" si="26"/>
        <v/>
      </c>
      <c r="K30" s="88" t="str">
        <f t="shared" si="26"/>
        <v/>
      </c>
      <c r="L30" s="88" t="str">
        <f t="shared" si="26"/>
        <v/>
      </c>
      <c r="M30" s="16">
        <v>1.0</v>
      </c>
    </row>
    <row r="31" ht="14.25" customHeight="1">
      <c r="G31" s="16" t="str">
        <f t="shared" ref="G31:L31" si="27">A31</f>
        <v>Santa Marta</v>
      </c>
      <c r="H31" s="88" t="str">
        <f t="shared" si="27"/>
        <v/>
      </c>
      <c r="I31" s="88" t="str">
        <f t="shared" si="27"/>
        <v/>
      </c>
      <c r="J31" s="88" t="str">
        <f t="shared" si="27"/>
        <v/>
      </c>
      <c r="K31" s="88" t="str">
        <f t="shared" si="27"/>
        <v/>
      </c>
      <c r="L31" s="88" t="str">
        <f t="shared" si="27"/>
        <v/>
      </c>
      <c r="M31" s="16">
        <v>1.0</v>
      </c>
    </row>
    <row r="32" ht="14.25" customHeight="1">
      <c r="G32" s="16" t="str">
        <f t="shared" ref="G32:L32" si="28">A32</f>
        <v>Sincelejo</v>
      </c>
      <c r="H32" s="88" t="str">
        <f t="shared" si="28"/>
        <v/>
      </c>
      <c r="I32" s="88" t="str">
        <f t="shared" si="28"/>
        <v/>
      </c>
      <c r="J32" s="88" t="str">
        <f t="shared" si="28"/>
        <v/>
      </c>
      <c r="K32" s="88" t="str">
        <f t="shared" si="28"/>
        <v/>
      </c>
      <c r="L32" s="88" t="str">
        <f t="shared" si="28"/>
        <v/>
      </c>
      <c r="M32" s="16">
        <v>1.0</v>
      </c>
    </row>
    <row r="33" ht="14.25" customHeight="1">
      <c r="G33" s="16" t="str">
        <f t="shared" ref="G33:L33" si="29">A33</f>
        <v>Tunja</v>
      </c>
      <c r="H33" s="88" t="str">
        <f t="shared" si="29"/>
        <v/>
      </c>
      <c r="I33" s="88" t="str">
        <f t="shared" si="29"/>
        <v/>
      </c>
      <c r="J33" s="88" t="str">
        <f t="shared" si="29"/>
        <v/>
      </c>
      <c r="K33" s="88" t="str">
        <f t="shared" si="29"/>
        <v/>
      </c>
      <c r="L33" s="88" t="str">
        <f t="shared" si="29"/>
        <v/>
      </c>
      <c r="M33" s="16">
        <v>1.0</v>
      </c>
    </row>
    <row r="34" ht="14.25" customHeight="1">
      <c r="G34" s="16" t="str">
        <f t="shared" ref="G34:L34" si="30">A34</f>
        <v>Valledupar</v>
      </c>
      <c r="H34" s="88" t="str">
        <f t="shared" si="30"/>
        <v/>
      </c>
      <c r="I34" s="88" t="str">
        <f t="shared" si="30"/>
        <v/>
      </c>
      <c r="J34" s="88" t="str">
        <f t="shared" si="30"/>
        <v/>
      </c>
      <c r="K34" s="88" t="str">
        <f t="shared" si="30"/>
        <v/>
      </c>
      <c r="L34" s="88" t="str">
        <f t="shared" si="30"/>
        <v/>
      </c>
      <c r="M34" s="16">
        <v>1.0</v>
      </c>
    </row>
    <row r="35" ht="14.25" customHeight="1">
      <c r="G35" s="16" t="str">
        <f t="shared" ref="G35:L35" si="31">A35</f>
        <v>Villavicencio</v>
      </c>
      <c r="H35" s="88" t="str">
        <f t="shared" si="31"/>
        <v/>
      </c>
      <c r="I35" s="88" t="str">
        <f t="shared" si="31"/>
        <v/>
      </c>
      <c r="J35" s="88" t="str">
        <f t="shared" si="31"/>
        <v/>
      </c>
      <c r="K35" s="88" t="str">
        <f t="shared" si="31"/>
        <v/>
      </c>
      <c r="L35" s="88" t="str">
        <f t="shared" si="31"/>
        <v/>
      </c>
      <c r="M35" s="16">
        <v>1.0</v>
      </c>
    </row>
    <row r="36" ht="14.25" customHeight="1">
      <c r="G36" s="16" t="str">
        <f t="shared" ref="G36:L36" si="32">A36</f>
        <v>Yopal</v>
      </c>
      <c r="H36" s="88" t="str">
        <f t="shared" si="32"/>
        <v/>
      </c>
      <c r="I36" s="88" t="str">
        <f t="shared" si="32"/>
        <v/>
      </c>
      <c r="J36" s="88" t="str">
        <f t="shared" si="32"/>
        <v/>
      </c>
      <c r="K36" s="88" t="str">
        <f t="shared" si="32"/>
        <v/>
      </c>
      <c r="L36" s="88" t="str">
        <f t="shared" si="32"/>
        <v/>
      </c>
      <c r="M36" s="16">
        <v>1.0</v>
      </c>
    </row>
    <row r="37" ht="14.25" customHeight="1"/>
    <row r="38" ht="14.25" customHeight="1">
      <c r="H38" s="15" t="s">
        <v>15</v>
      </c>
      <c r="I38" s="15" t="s">
        <v>20</v>
      </c>
      <c r="J38" s="15" t="s">
        <v>25</v>
      </c>
      <c r="K38" s="15" t="s">
        <v>29</v>
      </c>
      <c r="L38" s="15" t="s">
        <v>32</v>
      </c>
    </row>
    <row r="39" ht="14.25" customHeight="1">
      <c r="G39" s="16" t="s">
        <v>360</v>
      </c>
      <c r="H39" s="88">
        <f t="shared" ref="H39:L39" si="33">MAX(H5:H36)</f>
        <v>0</v>
      </c>
      <c r="I39" s="88">
        <f t="shared" si="33"/>
        <v>0</v>
      </c>
      <c r="J39" s="88">
        <f t="shared" si="33"/>
        <v>0</v>
      </c>
      <c r="K39" s="88">
        <f t="shared" si="33"/>
        <v>0</v>
      </c>
      <c r="L39" s="88">
        <f t="shared" si="33"/>
        <v>0</v>
      </c>
    </row>
    <row r="40" ht="14.25" customHeight="1">
      <c r="G40" s="16" t="s">
        <v>361</v>
      </c>
      <c r="H40" s="88">
        <f t="shared" ref="H40:L40" si="34">MIN(H5:H36)</f>
        <v>0</v>
      </c>
      <c r="I40" s="88">
        <f t="shared" si="34"/>
        <v>0</v>
      </c>
      <c r="J40" s="88">
        <f t="shared" si="34"/>
        <v>0</v>
      </c>
      <c r="K40" s="88">
        <f t="shared" si="34"/>
        <v>0</v>
      </c>
      <c r="L40" s="88">
        <f t="shared" si="34"/>
        <v>0</v>
      </c>
    </row>
    <row r="41" ht="14.25" customHeight="1">
      <c r="G41" s="16" t="s">
        <v>362</v>
      </c>
      <c r="H41" s="88" t="str">
        <f t="shared" ref="H41:L41" si="35">AVERAGE(H5:H36)</f>
        <v>#DIV/0!</v>
      </c>
      <c r="I41" s="88" t="str">
        <f t="shared" si="35"/>
        <v>#DIV/0!</v>
      </c>
      <c r="J41" s="88" t="str">
        <f t="shared" si="35"/>
        <v>#DIV/0!</v>
      </c>
      <c r="K41" s="88" t="str">
        <f t="shared" si="35"/>
        <v>#DIV/0!</v>
      </c>
      <c r="L41" s="88" t="str">
        <f t="shared" si="35"/>
        <v>#DIV/0!</v>
      </c>
    </row>
    <row r="42" ht="14.25" customHeight="1">
      <c r="G42" s="16" t="s">
        <v>363</v>
      </c>
      <c r="H42" s="88" t="str">
        <f t="shared" ref="H42:L42" si="36">_xlfn.STDEV.P(H5:H36)</f>
        <v>#DIV/0!</v>
      </c>
      <c r="I42" s="88" t="str">
        <f t="shared" si="36"/>
        <v>#DIV/0!</v>
      </c>
      <c r="J42" s="88" t="str">
        <f t="shared" si="36"/>
        <v>#DIV/0!</v>
      </c>
      <c r="K42" s="88" t="str">
        <f t="shared" si="36"/>
        <v>#DIV/0!</v>
      </c>
      <c r="L42" s="88" t="str">
        <f t="shared" si="36"/>
        <v>#DIV/0!</v>
      </c>
    </row>
    <row r="43" ht="14.25" customHeight="1"/>
    <row r="44" ht="14.25" customHeight="1">
      <c r="H44" s="20"/>
      <c r="I44" s="20"/>
      <c r="J44" s="20"/>
      <c r="K44" s="20"/>
    </row>
    <row r="45" ht="14.25" customHeight="1">
      <c r="H45" s="20"/>
      <c r="I45" s="20"/>
      <c r="J45" s="20"/>
      <c r="K45" s="20"/>
    </row>
    <row r="46" ht="14.25" customHeight="1">
      <c r="H46" s="20"/>
      <c r="I46" s="20"/>
      <c r="J46" s="20"/>
      <c r="K46" s="20"/>
    </row>
    <row r="47" ht="14.25" customHeight="1">
      <c r="H47" s="20"/>
      <c r="I47" s="20"/>
      <c r="J47" s="20"/>
      <c r="K47" s="20"/>
    </row>
    <row r="48" ht="14.25" customHeight="1">
      <c r="H48" s="20"/>
      <c r="I48" s="20"/>
      <c r="J48" s="20"/>
      <c r="K48" s="20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2019-11-22T19:25:28Z</dcterms:created>
  <dc:creator>Juan Sebastian Martinez BermudeZ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0x0101002E79972ECFDA214D963B8F2B96E242EB</vt:lpwstr>
  </property>
</Properties>
</file>